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1" i="1" l="1"/>
</calcChain>
</file>

<file path=xl/sharedStrings.xml><?xml version="1.0" encoding="utf-8"?>
<sst xmlns="http://schemas.openxmlformats.org/spreadsheetml/2006/main" count="209" uniqueCount="61">
  <si>
    <t>xx</t>
  </si>
  <si>
    <t>General Ledger</t>
  </si>
  <si>
    <t>April-June, 2026</t>
  </si>
  <si>
    <t>10100 Checking - First Prairie</t>
  </si>
  <si>
    <t>Beginning Balance</t>
  </si>
  <si>
    <t>06/05/2026</t>
  </si>
  <si>
    <t>Check</t>
  </si>
  <si>
    <t>2001</t>
  </si>
  <si>
    <t>Moraine Cycle Components</t>
  </si>
  <si>
    <t/>
  </si>
  <si>
    <t>Cost of Goods Sold</t>
  </si>
  <si>
    <t>06/12/2026</t>
  </si>
  <si>
    <t>Deposit</t>
  </si>
  <si>
    <t>Owner's Investment</t>
  </si>
  <si>
    <t>06/28/2026</t>
  </si>
  <si>
    <t>2002</t>
  </si>
  <si>
    <t>06/30/2026</t>
  </si>
  <si>
    <t>Journal Entry</t>
  </si>
  <si>
    <t>1</t>
  </si>
  <si>
    <t>June bank service charge</t>
  </si>
  <si>
    <t>Total for 10100 Checking - First Prairie</t>
  </si>
  <si>
    <t>Accounts Receivable (A/R)</t>
  </si>
  <si>
    <t>04/15/2026</t>
  </si>
  <si>
    <t>Invoice</t>
  </si>
  <si>
    <t>1001</t>
  </si>
  <si>
    <t>Gallatin Gear Exchange</t>
  </si>
  <si>
    <t>Sales of Product Income</t>
  </si>
  <si>
    <t>05/20/2026</t>
  </si>
  <si>
    <t>1002</t>
  </si>
  <si>
    <t>Big Sky Pedal Co.</t>
  </si>
  <si>
    <t>06/25/2026</t>
  </si>
  <si>
    <t>1003</t>
  </si>
  <si>
    <t>Total for Accounts Receivable (A/R)</t>
  </si>
  <si>
    <t>Inventory Asset</t>
  </si>
  <si>
    <t>Total for Inventory Asset</t>
  </si>
  <si>
    <t>Accounts Payable (A/P)</t>
  </si>
  <si>
    <t>05/10/2026</t>
  </si>
  <si>
    <t>Bill</t>
  </si>
  <si>
    <t>MCC-5521</t>
  </si>
  <si>
    <t>Total for Accounts Payable (A/P)</t>
  </si>
  <si>
    <t>Opening Balance Equity</t>
  </si>
  <si>
    <t>Total for Opening Balance Equity</t>
  </si>
  <si>
    <t>Owner capital contribution</t>
  </si>
  <si>
    <t>Total for Owner's Investment</t>
  </si>
  <si>
    <t>Total for Sales of Product Income</t>
  </si>
  <si>
    <t>Brake parts, May shipment</t>
  </si>
  <si>
    <t>Chain stock, paid on delivery</t>
  </si>
  <si>
    <t>Spoke kits, paid on delivery</t>
  </si>
  <si>
    <t>Total for Cost of Goods Sold</t>
  </si>
  <si>
    <t>Bank Charges &amp; Fees</t>
  </si>
  <si>
    <t>Total for Bank Charges &amp; Fees</t>
  </si>
  <si>
    <t>Distribution account</t>
  </si>
  <si>
    <t>Transaction date</t>
  </si>
  <si>
    <t>Transaction type</t>
  </si>
  <si>
    <t>Num</t>
  </si>
  <si>
    <t>Name</t>
  </si>
  <si>
    <t>Description</t>
  </si>
  <si>
    <t>Split</t>
  </si>
  <si>
    <t>Amount</t>
  </si>
  <si>
    <t>Balance</t>
  </si>
  <si>
    <t>Accrual Basis Wednesday, September 30, 2026 09:41 PM GMT-07:00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</si>
</sst>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55"/>
  <sheetViews>
    <sheetView tabSelected="1" workbookViewId="0" topLeftCell="A1"/>
  </sheetViews>
  <sheetFormatPr defaultColWidth="11.255" defaultRowHeight="16"/>
  <cols>
    <col min="1" max="1" width="35" style="20" customWidth="1"/>
    <col min="2" max="2" width="26.375" style="20" customWidth="1"/>
    <col min="3" max="4" width="14.375" style="20" customWidth="1"/>
    <col min="5" max="5" width="7.5" style="20" customWidth="1"/>
    <col min="6" max="6" width="21.25" style="20" customWidth="1"/>
    <col min="7" max="7" width="25.5" style="20" customWidth="1"/>
    <col min="8" max="8" width="26.375" style="20" customWidth="1"/>
    <col min="9" max="10" width="7.5" style="20" customWidth="1"/>
  </cols>
  <sheetData>
    <row r="1" spans="1:1" ht="16">
      <c r="A1" s="24" t="s">
        <v>0</v>
      </c>
    </row>
    <row r="2" spans="1:1" ht="16">
      <c r="A2" s="25" t="s">
        <v>1</v>
      </c>
    </row>
    <row r="3" spans="1:1" ht="16">
      <c r="A3" s="26" t="s">
        <v>2</v>
      </c>
    </row>
    <row r="5" spans="2:10" ht="16">
      <c r="B5" s="21" t="s">
        <v>51</v>
      </c>
      <c r="C5" s="21" t="s">
        <v>52</v>
      </c>
      <c r="D5" s="21" t="s">
        <v>53</v>
      </c>
      <c r="E5" s="21" t="s">
        <v>54</v>
      </c>
      <c r="F5" s="21" t="s">
        <v>55</v>
      </c>
      <c r="G5" s="21" t="s">
        <v>56</v>
      </c>
      <c r="H5" s="21" t="s">
        <v>57</v>
      </c>
      <c r="I5" s="21" t="s">
        <v>58</v>
      </c>
      <c r="J5" s="21" t="s">
        <v>59</v>
      </c>
    </row>
    <row r="6" spans="1:1" ht="16">
      <c r="A6" s="27" t="s">
        <v>3</v>
      </c>
    </row>
    <row r="7" spans="2:10" ht="16">
      <c r="B7" s="19" t="s">
        <v>4</v>
      </c>
      <c r="J7" s="22">
        <v>25000.0</v>
      </c>
    </row>
    <row r="8" spans="2:10" ht="16">
      <c r="B8" s="19" t="s">
        <v>3</v>
      </c>
      <c r="C8" s="19" t="s">
        <v>5</v>
      </c>
      <c r="D8" s="19" t="s">
        <v>6</v>
      </c>
      <c r="E8" s="19" t="s">
        <v>7</v>
      </c>
      <c r="F8" s="19" t="s">
        <v>8</v>
      </c>
      <c r="G8" s="19" t="s">
        <v>9</v>
      </c>
      <c r="H8" s="19" t="s">
        <v>10</v>
      </c>
      <c r="I8" s="22">
        <v>-640.0</v>
      </c>
      <c r="J8" s="22">
        <v>24360.0</v>
      </c>
    </row>
    <row r="9" spans="2:10" ht="16">
      <c r="B9" s="19" t="s">
        <v>3</v>
      </c>
      <c r="C9" s="19" t="s">
        <v>11</v>
      </c>
      <c r="D9" s="19" t="s">
        <v>12</v>
      </c>
      <c r="E9" s="19" t="s">
        <v>9</v>
      </c>
      <c r="F9" s="19" t="s">
        <v>9</v>
      </c>
      <c r="G9" s="19" t="s">
        <v>9</v>
      </c>
      <c r="H9" s="19" t="s">
        <v>13</v>
      </c>
      <c r="I9" s="22">
        <v>5000.0</v>
      </c>
      <c r="J9" s="22">
        <v>29360.0</v>
      </c>
    </row>
    <row r="10" spans="2:10" ht="16">
      <c r="B10" s="19" t="s">
        <v>3</v>
      </c>
      <c r="C10" s="19" t="s">
        <v>14</v>
      </c>
      <c r="D10" s="19" t="s">
        <v>6</v>
      </c>
      <c r="E10" s="19" t="s">
        <v>15</v>
      </c>
      <c r="F10" s="19" t="s">
        <v>8</v>
      </c>
      <c r="G10" s="19" t="s">
        <v>9</v>
      </c>
      <c r="H10" s="19" t="s">
        <v>10</v>
      </c>
      <c r="I10" s="22">
        <v>-410.0</v>
      </c>
      <c r="J10" s="22">
        <v>28950.0</v>
      </c>
    </row>
    <row r="11" spans="2:10" ht="16">
      <c r="B11" s="19" t="s">
        <v>3</v>
      </c>
      <c r="C11" s="19" t="s">
        <v>16</v>
      </c>
      <c r="D11" s="19" t="s">
        <v>17</v>
      </c>
      <c r="E11" s="19" t="s">
        <v>18</v>
      </c>
      <c r="F11" s="19" t="s">
        <v>9</v>
      </c>
      <c r="G11" s="19" t="s">
        <v>19</v>
      </c>
      <c r="H11" s="19" t="s">
        <v>9</v>
      </c>
      <c r="I11" s="22">
        <v>-35.0</v>
      </c>
      <c r="J11" s="22">
        <v>28915.0</v>
      </c>
    </row>
    <row r="12" spans="1:9" ht="16">
      <c r="A12" s="28" t="s">
        <v>20</v>
      </c>
      <c r="I12" s="23">
        <f>I7+I8+I9+I10+I11</f>
        <v>3915.0</v>
      </c>
    </row>
    <row r="13" spans="1:1" ht="16">
      <c r="A13" s="27" t="s">
        <v>21</v>
      </c>
    </row>
    <row r="14" spans="2:10" ht="16">
      <c r="B14" s="19" t="s">
        <v>21</v>
      </c>
      <c r="C14" s="19" t="s">
        <v>22</v>
      </c>
      <c r="D14" s="19" t="s">
        <v>23</v>
      </c>
      <c r="E14" s="19" t="s">
        <v>24</v>
      </c>
      <c r="F14" s="19" t="s">
        <v>25</v>
      </c>
      <c r="G14" s="19" t="s">
        <v>9</v>
      </c>
      <c r="H14" s="19" t="s">
        <v>26</v>
      </c>
      <c r="I14" s="22">
        <v>1400.0</v>
      </c>
      <c r="J14" s="22">
        <v>1400.0</v>
      </c>
    </row>
    <row r="15" spans="2:10" ht="16">
      <c r="B15" s="19" t="s">
        <v>21</v>
      </c>
      <c r="C15" s="19" t="s">
        <v>27</v>
      </c>
      <c r="D15" s="19" t="s">
        <v>23</v>
      </c>
      <c r="E15" s="19" t="s">
        <v>28</v>
      </c>
      <c r="F15" s="19" t="s">
        <v>29</v>
      </c>
      <c r="G15" s="19" t="s">
        <v>9</v>
      </c>
      <c r="H15" s="19" t="s">
        <v>26</v>
      </c>
      <c r="I15" s="22">
        <v>1140.0</v>
      </c>
      <c r="J15" s="22">
        <v>2540.0</v>
      </c>
    </row>
    <row r="16" spans="2:10" ht="16">
      <c r="B16" s="19" t="s">
        <v>21</v>
      </c>
      <c r="C16" s="19" t="s">
        <v>30</v>
      </c>
      <c r="D16" s="19" t="s">
        <v>23</v>
      </c>
      <c r="E16" s="19" t="s">
        <v>31</v>
      </c>
      <c r="F16" s="19" t="s">
        <v>25</v>
      </c>
      <c r="G16" s="19" t="s">
        <v>9</v>
      </c>
      <c r="H16" s="19" t="s">
        <v>9</v>
      </c>
      <c r="I16" s="22">
        <v>1460.0</v>
      </c>
      <c r="J16" s="22">
        <v>4000.0</v>
      </c>
    </row>
    <row r="17" spans="1:9" ht="16">
      <c r="A17" s="28" t="s">
        <v>32</v>
      </c>
      <c r="I17" s="23">
        <f>I14+I15+I16</f>
        <v>4000.0</v>
      </c>
    </row>
    <row r="18" spans="1:1" ht="16">
      <c r="A18" s="27" t="s">
        <v>33</v>
      </c>
    </row>
    <row r="19" spans="2:10" ht="16">
      <c r="B19" s="19" t="s">
        <v>4</v>
      </c>
      <c r="J19" s="22">
        <v>6040.0</v>
      </c>
    </row>
    <row r="20" spans="2:10" ht="16">
      <c r="B20" s="19" t="s">
        <v>33</v>
      </c>
      <c r="C20" s="19" t="s">
        <v>22</v>
      </c>
      <c r="D20" s="19" t="s">
        <v>23</v>
      </c>
      <c r="E20" s="19" t="s">
        <v>24</v>
      </c>
      <c r="F20" s="19" t="s">
        <v>25</v>
      </c>
      <c r="G20" s="19" t="s">
        <v>9</v>
      </c>
      <c r="H20" s="19" t="s">
        <v>21</v>
      </c>
      <c r="I20" s="22">
        <v>-850.0</v>
      </c>
      <c r="J20" s="22">
        <v>5190.0</v>
      </c>
    </row>
    <row r="21" spans="2:10" ht="16">
      <c r="B21" s="19" t="s">
        <v>33</v>
      </c>
      <c r="C21" s="19" t="s">
        <v>27</v>
      </c>
      <c r="D21" s="19" t="s">
        <v>23</v>
      </c>
      <c r="E21" s="19" t="s">
        <v>28</v>
      </c>
      <c r="F21" s="19" t="s">
        <v>29</v>
      </c>
      <c r="G21" s="19" t="s">
        <v>9</v>
      </c>
      <c r="H21" s="19" t="s">
        <v>21</v>
      </c>
      <c r="I21" s="22">
        <v>-660.0</v>
      </c>
      <c r="J21" s="22">
        <v>4530.0</v>
      </c>
    </row>
    <row r="22" spans="2:10" ht="16">
      <c r="B22" s="19" t="s">
        <v>33</v>
      </c>
      <c r="C22" s="19" t="s">
        <v>30</v>
      </c>
      <c r="D22" s="19" t="s">
        <v>23</v>
      </c>
      <c r="E22" s="19" t="s">
        <v>31</v>
      </c>
      <c r="F22" s="19" t="s">
        <v>25</v>
      </c>
      <c r="G22" s="19" t="s">
        <v>9</v>
      </c>
      <c r="H22" s="19" t="s">
        <v>21</v>
      </c>
      <c r="I22" s="22">
        <v>-425.0</v>
      </c>
      <c r="J22" s="22">
        <v>4105.0</v>
      </c>
    </row>
    <row r="23" spans="2:10" ht="16">
      <c r="B23" s="19" t="s">
        <v>33</v>
      </c>
      <c r="C23" s="19" t="s">
        <v>30</v>
      </c>
      <c r="D23" s="19" t="s">
        <v>23</v>
      </c>
      <c r="E23" s="19" t="s">
        <v>31</v>
      </c>
      <c r="F23" s="19" t="s">
        <v>25</v>
      </c>
      <c r="G23" s="19" t="s">
        <v>9</v>
      </c>
      <c r="H23" s="19" t="s">
        <v>21</v>
      </c>
      <c r="I23" s="22">
        <v>-440.0</v>
      </c>
      <c r="J23" s="22">
        <v>3665.0</v>
      </c>
    </row>
    <row r="24" spans="1:9" ht="16">
      <c r="A24" s="28" t="s">
        <v>34</v>
      </c>
      <c r="I24" s="23">
        <f>I19+I20+I21+I22+I23</f>
        <v>-2375.0</v>
      </c>
    </row>
    <row r="25" spans="1:1" ht="16">
      <c r="A25" s="27" t="s">
        <v>35</v>
      </c>
    </row>
    <row r="26" spans="2:10" ht="16">
      <c r="B26" s="19" t="s">
        <v>35</v>
      </c>
      <c r="C26" s="19" t="s">
        <v>36</v>
      </c>
      <c r="D26" s="19" t="s">
        <v>37</v>
      </c>
      <c r="E26" s="19" t="s">
        <v>38</v>
      </c>
      <c r="F26" s="19" t="s">
        <v>8</v>
      </c>
      <c r="G26" s="19" t="s">
        <v>9</v>
      </c>
      <c r="H26" s="19" t="s">
        <v>10</v>
      </c>
      <c r="I26" s="22">
        <v>1250.0</v>
      </c>
      <c r="J26" s="22">
        <v>1250.0</v>
      </c>
    </row>
    <row r="27" spans="1:9" ht="16">
      <c r="A27" s="28" t="s">
        <v>39</v>
      </c>
      <c r="I27" s="23">
        <f>I26</f>
        <v>1250.0</v>
      </c>
    </row>
    <row r="28" spans="1:1" ht="16">
      <c r="A28" s="27" t="s">
        <v>40</v>
      </c>
    </row>
    <row r="29" spans="2:10" ht="16">
      <c r="B29" s="19" t="s">
        <v>4</v>
      </c>
      <c r="J29" s="22">
        <v>31040.0</v>
      </c>
    </row>
    <row r="30" spans="1:9" ht="16">
      <c r="A30" s="28" t="s">
        <v>41</v>
      </c>
      <c r="I30" s="23">
        <f>I29</f>
        <v>0.0</v>
      </c>
    </row>
    <row r="31" spans="1:1" ht="16">
      <c r="A31" s="27" t="s">
        <v>13</v>
      </c>
    </row>
    <row r="32" spans="2:10" ht="16">
      <c r="B32" s="19" t="s">
        <v>13</v>
      </c>
      <c r="C32" s="19" t="s">
        <v>11</v>
      </c>
      <c r="D32" s="19" t="s">
        <v>12</v>
      </c>
      <c r="E32" s="19" t="s">
        <v>9</v>
      </c>
      <c r="F32" s="19" t="s">
        <v>9</v>
      </c>
      <c r="G32" s="19" t="s">
        <v>42</v>
      </c>
      <c r="H32" s="19" t="s">
        <v>3</v>
      </c>
      <c r="I32" s="22">
        <v>5000.0</v>
      </c>
      <c r="J32" s="22">
        <v>5000.0</v>
      </c>
    </row>
    <row r="33" spans="1:9" ht="16">
      <c r="A33" s="28" t="s">
        <v>43</v>
      </c>
      <c r="I33" s="23">
        <f>I32</f>
        <v>5000.0</v>
      </c>
    </row>
    <row r="34" spans="1:1" ht="16">
      <c r="A34" s="27" t="s">
        <v>26</v>
      </c>
    </row>
    <row r="35" spans="2:10" ht="16">
      <c r="B35" s="19" t="s">
        <v>26</v>
      </c>
      <c r="C35" s="19" t="s">
        <v>22</v>
      </c>
      <c r="D35" s="19" t="s">
        <v>23</v>
      </c>
      <c r="E35" s="19" t="s">
        <v>24</v>
      </c>
      <c r="F35" s="19" t="s">
        <v>25</v>
      </c>
      <c r="G35" s="19" t="s">
        <v>9</v>
      </c>
      <c r="H35" s="19" t="s">
        <v>21</v>
      </c>
      <c r="I35" s="22">
        <v>1400.0</v>
      </c>
      <c r="J35" s="22">
        <v>1400.0</v>
      </c>
    </row>
    <row r="36" spans="2:10" ht="16">
      <c r="B36" s="19" t="s">
        <v>26</v>
      </c>
      <c r="C36" s="19" t="s">
        <v>27</v>
      </c>
      <c r="D36" s="19" t="s">
        <v>23</v>
      </c>
      <c r="E36" s="19" t="s">
        <v>28</v>
      </c>
      <c r="F36" s="19" t="s">
        <v>29</v>
      </c>
      <c r="G36" s="19" t="s">
        <v>9</v>
      </c>
      <c r="H36" s="19" t="s">
        <v>21</v>
      </c>
      <c r="I36" s="22">
        <v>1140.0</v>
      </c>
      <c r="J36" s="22">
        <v>2540.0</v>
      </c>
    </row>
    <row r="37" spans="2:10" ht="16">
      <c r="B37" s="19" t="s">
        <v>26</v>
      </c>
      <c r="C37" s="19" t="s">
        <v>30</v>
      </c>
      <c r="D37" s="19" t="s">
        <v>23</v>
      </c>
      <c r="E37" s="19" t="s">
        <v>31</v>
      </c>
      <c r="F37" s="19" t="s">
        <v>25</v>
      </c>
      <c r="G37" s="19" t="s">
        <v>9</v>
      </c>
      <c r="H37" s="19" t="s">
        <v>21</v>
      </c>
      <c r="I37" s="22">
        <v>700.0</v>
      </c>
      <c r="J37" s="22">
        <v>3240.0</v>
      </c>
    </row>
    <row r="38" spans="2:10" ht="16">
      <c r="B38" s="19" t="s">
        <v>26</v>
      </c>
      <c r="C38" s="19" t="s">
        <v>30</v>
      </c>
      <c r="D38" s="19" t="s">
        <v>23</v>
      </c>
      <c r="E38" s="19" t="s">
        <v>31</v>
      </c>
      <c r="F38" s="19" t="s">
        <v>25</v>
      </c>
      <c r="G38" s="19" t="s">
        <v>9</v>
      </c>
      <c r="H38" s="19" t="s">
        <v>21</v>
      </c>
      <c r="I38" s="22">
        <v>760.0</v>
      </c>
      <c r="J38" s="22">
        <v>4000.0</v>
      </c>
    </row>
    <row r="39" spans="1:9" ht="16">
      <c r="A39" s="28" t="s">
        <v>44</v>
      </c>
      <c r="I39" s="23">
        <f>I35+I36+I37+I38</f>
        <v>4000.0</v>
      </c>
    </row>
    <row r="40" spans="1:1" ht="16">
      <c r="A40" s="27" t="s">
        <v>10</v>
      </c>
    </row>
    <row r="41" spans="2:10" ht="16">
      <c r="B41" s="19" t="s">
        <v>10</v>
      </c>
      <c r="C41" s="19" t="s">
        <v>22</v>
      </c>
      <c r="D41" s="19" t="s">
        <v>23</v>
      </c>
      <c r="E41" s="19" t="s">
        <v>24</v>
      </c>
      <c r="F41" s="19" t="s">
        <v>25</v>
      </c>
      <c r="G41" s="19" t="s">
        <v>9</v>
      </c>
      <c r="H41" s="19" t="s">
        <v>21</v>
      </c>
      <c r="I41" s="22">
        <v>850.0</v>
      </c>
      <c r="J41" s="22">
        <v>850.0</v>
      </c>
    </row>
    <row r="42" spans="2:10" ht="16">
      <c r="B42" s="19" t="s">
        <v>10</v>
      </c>
      <c r="C42" s="19" t="s">
        <v>36</v>
      </c>
      <c r="D42" s="19" t="s">
        <v>37</v>
      </c>
      <c r="E42" s="19" t="s">
        <v>38</v>
      </c>
      <c r="F42" s="19" t="s">
        <v>8</v>
      </c>
      <c r="G42" s="19" t="s">
        <v>45</v>
      </c>
      <c r="H42" s="19" t="s">
        <v>35</v>
      </c>
      <c r="I42" s="22">
        <v>1250.0</v>
      </c>
      <c r="J42" s="22">
        <v>2100.0</v>
      </c>
    </row>
    <row r="43" spans="2:10" ht="16">
      <c r="B43" s="19" t="s">
        <v>10</v>
      </c>
      <c r="C43" s="19" t="s">
        <v>27</v>
      </c>
      <c r="D43" s="19" t="s">
        <v>23</v>
      </c>
      <c r="E43" s="19" t="s">
        <v>28</v>
      </c>
      <c r="F43" s="19" t="s">
        <v>29</v>
      </c>
      <c r="G43" s="19" t="s">
        <v>9</v>
      </c>
      <c r="H43" s="19" t="s">
        <v>21</v>
      </c>
      <c r="I43" s="22">
        <v>660.0</v>
      </c>
      <c r="J43" s="22">
        <v>2760.0</v>
      </c>
    </row>
    <row r="44" spans="2:10" ht="16">
      <c r="B44" s="19" t="s">
        <v>10</v>
      </c>
      <c r="C44" s="19" t="s">
        <v>5</v>
      </c>
      <c r="D44" s="19" t="s">
        <v>6</v>
      </c>
      <c r="E44" s="19" t="s">
        <v>7</v>
      </c>
      <c r="F44" s="19" t="s">
        <v>8</v>
      </c>
      <c r="G44" s="19" t="s">
        <v>46</v>
      </c>
      <c r="H44" s="19" t="s">
        <v>3</v>
      </c>
      <c r="I44" s="22">
        <v>640.0</v>
      </c>
      <c r="J44" s="22">
        <v>3400.0</v>
      </c>
    </row>
    <row r="45" spans="2:10" ht="16">
      <c r="B45" s="19" t="s">
        <v>10</v>
      </c>
      <c r="C45" s="19" t="s">
        <v>30</v>
      </c>
      <c r="D45" s="19" t="s">
        <v>23</v>
      </c>
      <c r="E45" s="19" t="s">
        <v>31</v>
      </c>
      <c r="F45" s="19" t="s">
        <v>25</v>
      </c>
      <c r="G45" s="19" t="s">
        <v>9</v>
      </c>
      <c r="H45" s="19" t="s">
        <v>21</v>
      </c>
      <c r="I45" s="22">
        <v>425.0</v>
      </c>
      <c r="J45" s="22">
        <v>3825.0</v>
      </c>
    </row>
    <row r="46" spans="2:10" ht="16">
      <c r="B46" s="19" t="s">
        <v>10</v>
      </c>
      <c r="C46" s="19" t="s">
        <v>30</v>
      </c>
      <c r="D46" s="19" t="s">
        <v>23</v>
      </c>
      <c r="E46" s="19" t="s">
        <v>31</v>
      </c>
      <c r="F46" s="19" t="s">
        <v>25</v>
      </c>
      <c r="G46" s="19" t="s">
        <v>9</v>
      </c>
      <c r="H46" s="19" t="s">
        <v>21</v>
      </c>
      <c r="I46" s="22">
        <v>440.0</v>
      </c>
      <c r="J46" s="22">
        <v>4265.0</v>
      </c>
    </row>
    <row r="47" spans="2:10" ht="16">
      <c r="B47" s="19" t="s">
        <v>10</v>
      </c>
      <c r="C47" s="19" t="s">
        <v>14</v>
      </c>
      <c r="D47" s="19" t="s">
        <v>6</v>
      </c>
      <c r="E47" s="19" t="s">
        <v>15</v>
      </c>
      <c r="F47" s="19" t="s">
        <v>8</v>
      </c>
      <c r="G47" s="19" t="s">
        <v>47</v>
      </c>
      <c r="H47" s="19" t="s">
        <v>3</v>
      </c>
      <c r="I47" s="22">
        <v>410.0</v>
      </c>
      <c r="J47" s="22">
        <v>4675.0</v>
      </c>
    </row>
    <row r="48" spans="1:9" ht="16">
      <c r="A48" s="28" t="s">
        <v>48</v>
      </c>
      <c r="I48" s="23">
        <f>I41+I42+I43+I44+I45+I46+I47</f>
        <v>4675.0</v>
      </c>
    </row>
    <row r="49" spans="1:1" ht="16">
      <c r="A49" s="27" t="s">
        <v>49</v>
      </c>
    </row>
    <row r="50" spans="2:10" ht="16">
      <c r="B50" s="19" t="s">
        <v>49</v>
      </c>
      <c r="C50" s="19" t="s">
        <v>16</v>
      </c>
      <c r="D50" s="19" t="s">
        <v>17</v>
      </c>
      <c r="E50" s="19" t="s">
        <v>18</v>
      </c>
      <c r="F50" s="19" t="s">
        <v>9</v>
      </c>
      <c r="G50" s="19" t="s">
        <v>19</v>
      </c>
      <c r="H50" s="19" t="s">
        <v>9</v>
      </c>
      <c r="I50" s="22">
        <v>35.0</v>
      </c>
      <c r="J50" s="22">
        <v>35.0</v>
      </c>
    </row>
    <row r="51" spans="1:9" ht="16">
      <c r="A51" s="28" t="s">
        <v>50</v>
      </c>
      <c r="I51" s="23">
        <f>I50</f>
        <v>35.0</v>
      </c>
    </row>
    <row r="55" spans="1:1" ht="16">
      <c r="A55" s="29" t="s">
        <v>60</v>
      </c>
    </row>
  </sheetData>
  <mergeCells count="4">
    <mergeCell ref="A1:I1"/>
    <mergeCell ref="A2:I2"/>
    <mergeCell ref="A3:I3"/>
    <mergeCell ref="A55:I5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