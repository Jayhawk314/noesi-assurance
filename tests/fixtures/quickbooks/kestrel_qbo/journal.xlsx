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9" i="1" l="1"/>
</calcChain>
</file>

<file path=xl/sharedStrings.xml><?xml version="1.0" encoding="utf-8"?>
<sst xmlns="http://schemas.openxmlformats.org/spreadsheetml/2006/main" count="221" uniqueCount="79">
  <si>
    <t>xx</t>
  </si>
  <si>
    <t>Journal</t>
  </si>
  <si>
    <t>January-June, 2026</t>
  </si>
  <si>
    <t>2</t>
  </si>
  <si>
    <t>03/31/2026</t>
  </si>
  <si>
    <t>Deposit</t>
  </si>
  <si>
    <t/>
  </si>
  <si>
    <t>Opening Balance</t>
  </si>
  <si>
    <t>10100 Checking - First Prairie</t>
  </si>
  <si>
    <t>Opening Balance Equity</t>
  </si>
  <si>
    <t>Total for 2</t>
  </si>
  <si>
    <t>3</t>
  </si>
  <si>
    <t>Inventory Starting Value</t>
  </si>
  <si>
    <t>START</t>
  </si>
  <si>
    <t>Trail Hub Assembly - Opening inventory and value</t>
  </si>
  <si>
    <t>Inventory Asset</t>
  </si>
  <si>
    <t>Total for 3</t>
  </si>
  <si>
    <t>5</t>
  </si>
  <si>
    <t>Gravel Tire 700x40 - Opening inventory and value</t>
  </si>
  <si>
    <t>Total for 5</t>
  </si>
  <si>
    <t>4</t>
  </si>
  <si>
    <t>04/15/2026</t>
  </si>
  <si>
    <t>Invoice</t>
  </si>
  <si>
    <t>1001</t>
  </si>
  <si>
    <t>Gallatin Gear Exchange</t>
  </si>
  <si>
    <t>Accounts Receivable (A/R)</t>
  </si>
  <si>
    <t>Sales of Product Income</t>
  </si>
  <si>
    <t>Cost of Goods Sold</t>
  </si>
  <si>
    <t>Total for 4</t>
  </si>
  <si>
    <t>8</t>
  </si>
  <si>
    <t>05/10/2026</t>
  </si>
  <si>
    <t>Bill</t>
  </si>
  <si>
    <t>MCC-5521</t>
  </si>
  <si>
    <t>Moraine Cycle Components</t>
  </si>
  <si>
    <t>Accounts Payable (A/P)</t>
  </si>
  <si>
    <t>Brake parts, May shipment</t>
  </si>
  <si>
    <t>Total for 8</t>
  </si>
  <si>
    <t>6</t>
  </si>
  <si>
    <t>05/20/2026</t>
  </si>
  <si>
    <t>1002</t>
  </si>
  <si>
    <t>Big Sky Pedal Co.</t>
  </si>
  <si>
    <t>Total for 6</t>
  </si>
  <si>
    <t>9</t>
  </si>
  <si>
    <t>06/05/2026</t>
  </si>
  <si>
    <t>Check</t>
  </si>
  <si>
    <t>2001</t>
  </si>
  <si>
    <t>Chain stock, paid on delivery</t>
  </si>
  <si>
    <t>Total for 9</t>
  </si>
  <si>
    <t>11</t>
  </si>
  <si>
    <t>06/12/2026</t>
  </si>
  <si>
    <t>Owner capital contribution</t>
  </si>
  <si>
    <t>Owner's Investment</t>
  </si>
  <si>
    <t>Total for 11</t>
  </si>
  <si>
    <t>7</t>
  </si>
  <si>
    <t>06/25/2026</t>
  </si>
  <si>
    <t>1003</t>
  </si>
  <si>
    <t>Total for 7</t>
  </si>
  <si>
    <t>10</t>
  </si>
  <si>
    <t>06/28/2026</t>
  </si>
  <si>
    <t>2002</t>
  </si>
  <si>
    <t>Spoke kits, paid on delivery</t>
  </si>
  <si>
    <t>Total for 10</t>
  </si>
  <si>
    <t>12</t>
  </si>
  <si>
    <t>06/30/2026</t>
  </si>
  <si>
    <t>Journal Entry</t>
  </si>
  <si>
    <t>1</t>
  </si>
  <si>
    <t>June bank service charge</t>
  </si>
  <si>
    <t>Bank Charges &amp; Fees</t>
  </si>
  <si>
    <t>Total for 12</t>
  </si>
  <si>
    <t>TOTAL</t>
  </si>
  <si>
    <t>Transaction date</t>
  </si>
  <si>
    <t>Transaction type</t>
  </si>
  <si>
    <t>Num</t>
  </si>
  <si>
    <t>Name</t>
  </si>
  <si>
    <t>Description</t>
  </si>
  <si>
    <t>Account Name</t>
  </si>
  <si>
    <t>Debit</t>
  </si>
  <si>
    <t>Credit</t>
  </si>
  <si>
    <t xml:space="preserve"> Wednesday, September 30, 2026 09:39 PM GMT-07:00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</si>
</sst>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3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2" fillId="0" borderId="1" xfId="20">
      <alignment/>
      <protection/>
    </xf>
    <xf numFmtId="0" fontId="8" fillId="0" borderId="1" xfId="20" applyFont="1">
      <alignment/>
      <protection/>
    </xf>
    <xf numFmtId="0" fontId="8" fillId="0" borderId="1" xfId="20" applyFont="1" applyAlignment="1">
      <alignment wrapText="1"/>
      <protection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1" xfId="20" applyFont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I63"/>
  <sheetViews>
    <sheetView tabSelected="1" workbookViewId="0" topLeftCell="A1"/>
  </sheetViews>
  <sheetFormatPr defaultColWidth="11.255" defaultRowHeight="16"/>
  <cols>
    <col min="1" max="1" width="11" style="22" customWidth="1"/>
    <col min="2" max="2" width="14.375" style="22" customWidth="1"/>
    <col min="3" max="3" width="21.25" style="22" customWidth="1"/>
    <col min="4" max="4" width="7.5" style="22" customWidth="1"/>
    <col min="5" max="5" width="21.25" style="22" customWidth="1"/>
    <col min="6" max="6" width="41.875" style="22" customWidth="1"/>
    <col min="7" max="7" width="26.375" style="22" customWidth="1"/>
    <col min="8" max="9" width="7.5" style="22" customWidth="1"/>
  </cols>
  <sheetData>
    <row r="1" spans="1:1" ht="16">
      <c r="A1" s="26" t="s">
        <v>0</v>
      </c>
    </row>
    <row r="2" spans="1:1" ht="16">
      <c r="A2" s="27" t="s">
        <v>1</v>
      </c>
    </row>
    <row r="3" spans="1:1" ht="16">
      <c r="A3" s="28" t="s">
        <v>2</v>
      </c>
    </row>
    <row r="5" spans="2:9" ht="16">
      <c r="B5" s="23" t="s">
        <v>70</v>
      </c>
      <c r="C5" s="23" t="s">
        <v>71</v>
      </c>
      <c r="D5" s="23" t="s">
        <v>72</v>
      </c>
      <c r="E5" s="23" t="s">
        <v>73</v>
      </c>
      <c r="F5" s="23" t="s">
        <v>74</v>
      </c>
      <c r="G5" s="23" t="s">
        <v>75</v>
      </c>
      <c r="H5" s="23" t="s">
        <v>76</v>
      </c>
      <c r="I5" s="23" t="s">
        <v>77</v>
      </c>
    </row>
    <row r="6" spans="1:1" ht="16">
      <c r="A6" s="29" t="s">
        <v>3</v>
      </c>
    </row>
    <row r="7" spans="2:9" ht="16">
      <c r="B7" s="21" t="s">
        <v>4</v>
      </c>
      <c r="C7" s="21" t="s">
        <v>5</v>
      </c>
      <c r="D7" s="21" t="s">
        <v>6</v>
      </c>
      <c r="E7" s="21" t="s">
        <v>6</v>
      </c>
      <c r="F7" s="21" t="s">
        <v>7</v>
      </c>
      <c r="G7" s="21" t="s">
        <v>8</v>
      </c>
      <c r="H7" s="24">
        <v>25000.0</v>
      </c>
      <c r="I7" s="21"/>
    </row>
    <row r="8" spans="2:9" ht="16">
      <c r="B8" s="21" t="s">
        <v>4</v>
      </c>
      <c r="C8" s="21" t="s">
        <v>5</v>
      </c>
      <c r="D8" s="21" t="s">
        <v>6</v>
      </c>
      <c r="E8" s="21" t="s">
        <v>6</v>
      </c>
      <c r="F8" s="21" t="s">
        <v>6</v>
      </c>
      <c r="G8" s="21" t="s">
        <v>9</v>
      </c>
      <c r="H8" s="21"/>
      <c r="I8" s="24">
        <v>25000.0</v>
      </c>
    </row>
    <row r="9" spans="1:9" ht="16">
      <c r="A9" s="30" t="s">
        <v>10</v>
      </c>
      <c r="H9" s="25">
        <f>H7+H8</f>
        <v>25000.0</v>
      </c>
      <c r="I9" s="25">
        <f>I7+I8</f>
        <v>25000.0</v>
      </c>
    </row>
    <row r="10" spans="1:1" ht="16">
      <c r="A10" s="29" t="s">
        <v>11</v>
      </c>
    </row>
    <row r="11" spans="2:9" ht="16">
      <c r="B11" s="21" t="s">
        <v>4</v>
      </c>
      <c r="C11" s="21" t="s">
        <v>12</v>
      </c>
      <c r="D11" s="21" t="s">
        <v>13</v>
      </c>
      <c r="E11" s="21" t="s">
        <v>6</v>
      </c>
      <c r="F11" s="21" t="s">
        <v>14</v>
      </c>
      <c r="G11" s="21" t="s">
        <v>9</v>
      </c>
      <c r="H11" s="21"/>
      <c r="I11" s="24">
        <v>3400.0</v>
      </c>
    </row>
    <row r="12" spans="2:9" ht="16">
      <c r="B12" s="21" t="s">
        <v>4</v>
      </c>
      <c r="C12" s="21" t="s">
        <v>12</v>
      </c>
      <c r="D12" s="21" t="s">
        <v>13</v>
      </c>
      <c r="E12" s="21" t="s">
        <v>6</v>
      </c>
      <c r="F12" s="21" t="s">
        <v>14</v>
      </c>
      <c r="G12" s="21" t="s">
        <v>15</v>
      </c>
      <c r="H12" s="24">
        <v>3400.0</v>
      </c>
      <c r="I12" s="21"/>
    </row>
    <row r="13" spans="1:9" ht="16">
      <c r="A13" s="30" t="s">
        <v>16</v>
      </c>
      <c r="H13" s="25">
        <f>H11+H12</f>
        <v>3400.0</v>
      </c>
      <c r="I13" s="25">
        <f>I11+I12</f>
        <v>3400.0</v>
      </c>
    </row>
    <row r="14" spans="1:1" ht="16">
      <c r="A14" s="29" t="s">
        <v>17</v>
      </c>
    </row>
    <row r="15" spans="2:9" ht="16">
      <c r="B15" s="21" t="s">
        <v>4</v>
      </c>
      <c r="C15" s="21" t="s">
        <v>12</v>
      </c>
      <c r="D15" s="21" t="s">
        <v>13</v>
      </c>
      <c r="E15" s="21" t="s">
        <v>6</v>
      </c>
      <c r="F15" s="21" t="s">
        <v>18</v>
      </c>
      <c r="G15" s="21" t="s">
        <v>9</v>
      </c>
      <c r="H15" s="21"/>
      <c r="I15" s="24">
        <v>2640.0</v>
      </c>
    </row>
    <row r="16" spans="2:9" ht="16">
      <c r="B16" s="21" t="s">
        <v>4</v>
      </c>
      <c r="C16" s="21" t="s">
        <v>12</v>
      </c>
      <c r="D16" s="21" t="s">
        <v>13</v>
      </c>
      <c r="E16" s="21" t="s">
        <v>6</v>
      </c>
      <c r="F16" s="21" t="s">
        <v>18</v>
      </c>
      <c r="G16" s="21" t="s">
        <v>15</v>
      </c>
      <c r="H16" s="24">
        <v>2640.0</v>
      </c>
      <c r="I16" s="21"/>
    </row>
    <row r="17" spans="1:9" ht="16">
      <c r="A17" s="30" t="s">
        <v>19</v>
      </c>
      <c r="H17" s="25">
        <f>H15+H16</f>
        <v>2640.0</v>
      </c>
      <c r="I17" s="25">
        <f>I15+I16</f>
        <v>2640.0</v>
      </c>
    </row>
    <row r="18" spans="1:1" ht="16">
      <c r="A18" s="29" t="s">
        <v>20</v>
      </c>
    </row>
    <row r="19" spans="2:9" ht="16">
      <c r="B19" s="21" t="s">
        <v>21</v>
      </c>
      <c r="C19" s="21" t="s">
        <v>22</v>
      </c>
      <c r="D19" s="21" t="s">
        <v>23</v>
      </c>
      <c r="E19" s="21" t="s">
        <v>24</v>
      </c>
      <c r="F19" s="21" t="s">
        <v>6</v>
      </c>
      <c r="G19" s="21" t="s">
        <v>25</v>
      </c>
      <c r="H19" s="24">
        <v>1400.0</v>
      </c>
      <c r="I19" s="21"/>
    </row>
    <row r="20" spans="2:9" ht="16">
      <c r="B20" s="21" t="s">
        <v>21</v>
      </c>
      <c r="C20" s="21" t="s">
        <v>22</v>
      </c>
      <c r="D20" s="21" t="s">
        <v>23</v>
      </c>
      <c r="E20" s="21" t="s">
        <v>24</v>
      </c>
      <c r="F20" s="21" t="s">
        <v>6</v>
      </c>
      <c r="G20" s="21" t="s">
        <v>26</v>
      </c>
      <c r="H20" s="21"/>
      <c r="I20" s="24">
        <v>1400.0</v>
      </c>
    </row>
    <row r="21" spans="2:9" ht="16">
      <c r="B21" s="21" t="s">
        <v>21</v>
      </c>
      <c r="C21" s="21" t="s">
        <v>22</v>
      </c>
      <c r="D21" s="21" t="s">
        <v>23</v>
      </c>
      <c r="E21" s="21" t="s">
        <v>24</v>
      </c>
      <c r="F21" s="21" t="s">
        <v>6</v>
      </c>
      <c r="G21" s="21" t="s">
        <v>15</v>
      </c>
      <c r="H21" s="21"/>
      <c r="I21" s="24">
        <v>850.0</v>
      </c>
    </row>
    <row r="22" spans="2:9" ht="16">
      <c r="B22" s="21" t="s">
        <v>21</v>
      </c>
      <c r="C22" s="21" t="s">
        <v>22</v>
      </c>
      <c r="D22" s="21" t="s">
        <v>23</v>
      </c>
      <c r="E22" s="21" t="s">
        <v>24</v>
      </c>
      <c r="F22" s="21" t="s">
        <v>6</v>
      </c>
      <c r="G22" s="21" t="s">
        <v>27</v>
      </c>
      <c r="H22" s="24">
        <v>850.0</v>
      </c>
      <c r="I22" s="21"/>
    </row>
    <row r="23" spans="1:9" ht="16">
      <c r="A23" s="30" t="s">
        <v>28</v>
      </c>
      <c r="H23" s="25">
        <f>H19+H20+H21+H22</f>
        <v>2250.0</v>
      </c>
      <c r="I23" s="25">
        <f>I19+I20+I21+I22</f>
        <v>2250.0</v>
      </c>
    </row>
    <row r="24" spans="1:1" ht="16">
      <c r="A24" s="29" t="s">
        <v>29</v>
      </c>
    </row>
    <row r="25" spans="2:9" ht="16">
      <c r="B25" s="21" t="s">
        <v>30</v>
      </c>
      <c r="C25" s="21" t="s">
        <v>31</v>
      </c>
      <c r="D25" s="21" t="s">
        <v>32</v>
      </c>
      <c r="E25" s="21" t="s">
        <v>33</v>
      </c>
      <c r="F25" s="21" t="s">
        <v>6</v>
      </c>
      <c r="G25" s="21" t="s">
        <v>34</v>
      </c>
      <c r="H25" s="21"/>
      <c r="I25" s="24">
        <v>1250.0</v>
      </c>
    </row>
    <row r="26" spans="2:9" ht="16">
      <c r="B26" s="21" t="s">
        <v>30</v>
      </c>
      <c r="C26" s="21" t="s">
        <v>31</v>
      </c>
      <c r="D26" s="21" t="s">
        <v>32</v>
      </c>
      <c r="E26" s="21" t="s">
        <v>33</v>
      </c>
      <c r="F26" s="21" t="s">
        <v>35</v>
      </c>
      <c r="G26" s="21" t="s">
        <v>27</v>
      </c>
      <c r="H26" s="24">
        <v>1250.0</v>
      </c>
      <c r="I26" s="21"/>
    </row>
    <row r="27" spans="1:9" ht="16">
      <c r="A27" s="30" t="s">
        <v>36</v>
      </c>
      <c r="H27" s="25">
        <f>H25+H26</f>
        <v>1250.0</v>
      </c>
      <c r="I27" s="25">
        <f>I25+I26</f>
        <v>1250.0</v>
      </c>
    </row>
    <row r="28" spans="1:1" ht="16">
      <c r="A28" s="29" t="s">
        <v>37</v>
      </c>
    </row>
    <row r="29" spans="2:9" ht="16">
      <c r="B29" s="21" t="s">
        <v>38</v>
      </c>
      <c r="C29" s="21" t="s">
        <v>22</v>
      </c>
      <c r="D29" s="21" t="s">
        <v>39</v>
      </c>
      <c r="E29" s="21" t="s">
        <v>40</v>
      </c>
      <c r="F29" s="21" t="s">
        <v>6</v>
      </c>
      <c r="G29" s="21" t="s">
        <v>25</v>
      </c>
      <c r="H29" s="24">
        <v>1140.0</v>
      </c>
      <c r="I29" s="21"/>
    </row>
    <row r="30" spans="2:9" ht="16">
      <c r="B30" s="21" t="s">
        <v>38</v>
      </c>
      <c r="C30" s="21" t="s">
        <v>22</v>
      </c>
      <c r="D30" s="21" t="s">
        <v>39</v>
      </c>
      <c r="E30" s="21" t="s">
        <v>40</v>
      </c>
      <c r="F30" s="21" t="s">
        <v>6</v>
      </c>
      <c r="G30" s="21" t="s">
        <v>26</v>
      </c>
      <c r="H30" s="21"/>
      <c r="I30" s="24">
        <v>1140.0</v>
      </c>
    </row>
    <row r="31" spans="2:9" ht="16">
      <c r="B31" s="21" t="s">
        <v>38</v>
      </c>
      <c r="C31" s="21" t="s">
        <v>22</v>
      </c>
      <c r="D31" s="21" t="s">
        <v>39</v>
      </c>
      <c r="E31" s="21" t="s">
        <v>40</v>
      </c>
      <c r="F31" s="21" t="s">
        <v>6</v>
      </c>
      <c r="G31" s="21" t="s">
        <v>15</v>
      </c>
      <c r="H31" s="21"/>
      <c r="I31" s="24">
        <v>660.0</v>
      </c>
    </row>
    <row r="32" spans="2:9" ht="16">
      <c r="B32" s="21" t="s">
        <v>38</v>
      </c>
      <c r="C32" s="21" t="s">
        <v>22</v>
      </c>
      <c r="D32" s="21" t="s">
        <v>39</v>
      </c>
      <c r="E32" s="21" t="s">
        <v>40</v>
      </c>
      <c r="F32" s="21" t="s">
        <v>6</v>
      </c>
      <c r="G32" s="21" t="s">
        <v>27</v>
      </c>
      <c r="H32" s="24">
        <v>660.0</v>
      </c>
      <c r="I32" s="21"/>
    </row>
    <row r="33" spans="1:9" ht="16">
      <c r="A33" s="30" t="s">
        <v>41</v>
      </c>
      <c r="H33" s="25">
        <f>H29+H30+H31+H32</f>
        <v>1800.0</v>
      </c>
      <c r="I33" s="25">
        <f>I29+I30+I31+I32</f>
        <v>1800.0</v>
      </c>
    </row>
    <row r="34" spans="1:1" ht="16">
      <c r="A34" s="29" t="s">
        <v>42</v>
      </c>
    </row>
    <row r="35" spans="2:9" ht="16">
      <c r="B35" s="21" t="s">
        <v>43</v>
      </c>
      <c r="C35" s="21" t="s">
        <v>44</v>
      </c>
      <c r="D35" s="21" t="s">
        <v>45</v>
      </c>
      <c r="E35" s="21" t="s">
        <v>33</v>
      </c>
      <c r="F35" s="21" t="s">
        <v>6</v>
      </c>
      <c r="G35" s="21" t="s">
        <v>8</v>
      </c>
      <c r="H35" s="21"/>
      <c r="I35" s="24">
        <v>640.0</v>
      </c>
    </row>
    <row r="36" spans="2:9" ht="16">
      <c r="B36" s="21" t="s">
        <v>43</v>
      </c>
      <c r="C36" s="21" t="s">
        <v>44</v>
      </c>
      <c r="D36" s="21" t="s">
        <v>45</v>
      </c>
      <c r="E36" s="21" t="s">
        <v>33</v>
      </c>
      <c r="F36" s="21" t="s">
        <v>46</v>
      </c>
      <c r="G36" s="21" t="s">
        <v>27</v>
      </c>
      <c r="H36" s="24">
        <v>640.0</v>
      </c>
      <c r="I36" s="21"/>
    </row>
    <row r="37" spans="1:9" ht="16">
      <c r="A37" s="30" t="s">
        <v>47</v>
      </c>
      <c r="H37" s="25">
        <f>H35+H36</f>
        <v>640.0</v>
      </c>
      <c r="I37" s="25">
        <f>I35+I36</f>
        <v>640.0</v>
      </c>
    </row>
    <row r="38" spans="1:1" ht="16">
      <c r="A38" s="29" t="s">
        <v>48</v>
      </c>
    </row>
    <row r="39" spans="2:9" ht="16">
      <c r="B39" s="21" t="s">
        <v>49</v>
      </c>
      <c r="C39" s="21" t="s">
        <v>5</v>
      </c>
      <c r="D39" s="21" t="s">
        <v>6</v>
      </c>
      <c r="E39" s="21" t="s">
        <v>6</v>
      </c>
      <c r="F39" s="21" t="s">
        <v>6</v>
      </c>
      <c r="G39" s="21" t="s">
        <v>8</v>
      </c>
      <c r="H39" s="24">
        <v>5000.0</v>
      </c>
      <c r="I39" s="21"/>
    </row>
    <row r="40" spans="2:9" ht="16">
      <c r="B40" s="21" t="s">
        <v>49</v>
      </c>
      <c r="C40" s="21" t="s">
        <v>5</v>
      </c>
      <c r="D40" s="21" t="s">
        <v>6</v>
      </c>
      <c r="E40" s="21" t="s">
        <v>6</v>
      </c>
      <c r="F40" s="21" t="s">
        <v>50</v>
      </c>
      <c r="G40" s="21" t="s">
        <v>51</v>
      </c>
      <c r="H40" s="21"/>
      <c r="I40" s="24">
        <v>5000.0</v>
      </c>
    </row>
    <row r="41" spans="1:9" ht="16">
      <c r="A41" s="30" t="s">
        <v>52</v>
      </c>
      <c r="H41" s="25">
        <f>H39+H40</f>
        <v>5000.0</v>
      </c>
      <c r="I41" s="25">
        <f>I39+I40</f>
        <v>5000.0</v>
      </c>
    </row>
    <row r="42" spans="1:1" ht="16">
      <c r="A42" s="29" t="s">
        <v>53</v>
      </c>
    </row>
    <row r="43" spans="2:9" ht="16">
      <c r="B43" s="21" t="s">
        <v>54</v>
      </c>
      <c r="C43" s="21" t="s">
        <v>22</v>
      </c>
      <c r="D43" s="21" t="s">
        <v>55</v>
      </c>
      <c r="E43" s="21" t="s">
        <v>24</v>
      </c>
      <c r="F43" s="21" t="s">
        <v>6</v>
      </c>
      <c r="G43" s="21" t="s">
        <v>25</v>
      </c>
      <c r="H43" s="24">
        <v>1460.0</v>
      </c>
      <c r="I43" s="21"/>
    </row>
    <row r="44" spans="2:9" ht="16">
      <c r="B44" s="21" t="s">
        <v>54</v>
      </c>
      <c r="C44" s="21" t="s">
        <v>22</v>
      </c>
      <c r="D44" s="21" t="s">
        <v>55</v>
      </c>
      <c r="E44" s="21" t="s">
        <v>24</v>
      </c>
      <c r="F44" s="21" t="s">
        <v>6</v>
      </c>
      <c r="G44" s="21" t="s">
        <v>26</v>
      </c>
      <c r="H44" s="21"/>
      <c r="I44" s="24">
        <v>700.0</v>
      </c>
    </row>
    <row r="45" spans="2:9" ht="16">
      <c r="B45" s="21" t="s">
        <v>54</v>
      </c>
      <c r="C45" s="21" t="s">
        <v>22</v>
      </c>
      <c r="D45" s="21" t="s">
        <v>55</v>
      </c>
      <c r="E45" s="21" t="s">
        <v>24</v>
      </c>
      <c r="F45" s="21" t="s">
        <v>6</v>
      </c>
      <c r="G45" s="21" t="s">
        <v>15</v>
      </c>
      <c r="H45" s="21"/>
      <c r="I45" s="24">
        <v>425.0</v>
      </c>
    </row>
    <row r="46" spans="2:9" ht="16">
      <c r="B46" s="21" t="s">
        <v>54</v>
      </c>
      <c r="C46" s="21" t="s">
        <v>22</v>
      </c>
      <c r="D46" s="21" t="s">
        <v>55</v>
      </c>
      <c r="E46" s="21" t="s">
        <v>24</v>
      </c>
      <c r="F46" s="21" t="s">
        <v>6</v>
      </c>
      <c r="G46" s="21" t="s">
        <v>27</v>
      </c>
      <c r="H46" s="24">
        <v>425.0</v>
      </c>
      <c r="I46" s="21"/>
    </row>
    <row r="47" spans="2:9" ht="16">
      <c r="B47" s="21" t="s">
        <v>54</v>
      </c>
      <c r="C47" s="21" t="s">
        <v>22</v>
      </c>
      <c r="D47" s="21" t="s">
        <v>55</v>
      </c>
      <c r="E47" s="21" t="s">
        <v>24</v>
      </c>
      <c r="F47" s="21" t="s">
        <v>6</v>
      </c>
      <c r="G47" s="21" t="s">
        <v>26</v>
      </c>
      <c r="H47" s="21"/>
      <c r="I47" s="24">
        <v>760.0</v>
      </c>
    </row>
    <row r="48" spans="2:9" ht="16">
      <c r="B48" s="21" t="s">
        <v>54</v>
      </c>
      <c r="C48" s="21" t="s">
        <v>22</v>
      </c>
      <c r="D48" s="21" t="s">
        <v>55</v>
      </c>
      <c r="E48" s="21" t="s">
        <v>24</v>
      </c>
      <c r="F48" s="21" t="s">
        <v>6</v>
      </c>
      <c r="G48" s="21" t="s">
        <v>15</v>
      </c>
      <c r="H48" s="21"/>
      <c r="I48" s="24">
        <v>440.0</v>
      </c>
    </row>
    <row r="49" spans="2:9" ht="16">
      <c r="B49" s="21" t="s">
        <v>54</v>
      </c>
      <c r="C49" s="21" t="s">
        <v>22</v>
      </c>
      <c r="D49" s="21" t="s">
        <v>55</v>
      </c>
      <c r="E49" s="21" t="s">
        <v>24</v>
      </c>
      <c r="F49" s="21" t="s">
        <v>6</v>
      </c>
      <c r="G49" s="21" t="s">
        <v>27</v>
      </c>
      <c r="H49" s="24">
        <v>440.0</v>
      </c>
      <c r="I49" s="21"/>
    </row>
    <row r="50" spans="1:9" ht="16">
      <c r="A50" s="30" t="s">
        <v>56</v>
      </c>
      <c r="H50" s="25">
        <f>H43+H44+H45+H46+H47+H48+H49</f>
        <v>2325.0</v>
      </c>
      <c r="I50" s="25">
        <f>I43+I44+I45+I46+I47+I48+I49</f>
        <v>2325.0</v>
      </c>
    </row>
    <row r="51" spans="1:1" ht="16">
      <c r="A51" s="29" t="s">
        <v>57</v>
      </c>
    </row>
    <row r="52" spans="2:9" ht="16">
      <c r="B52" s="21" t="s">
        <v>58</v>
      </c>
      <c r="C52" s="21" t="s">
        <v>44</v>
      </c>
      <c r="D52" s="21" t="s">
        <v>59</v>
      </c>
      <c r="E52" s="21" t="s">
        <v>33</v>
      </c>
      <c r="F52" s="21" t="s">
        <v>6</v>
      </c>
      <c r="G52" s="21" t="s">
        <v>8</v>
      </c>
      <c r="H52" s="21"/>
      <c r="I52" s="24">
        <v>410.0</v>
      </c>
    </row>
    <row r="53" spans="2:9" ht="16">
      <c r="B53" s="21" t="s">
        <v>58</v>
      </c>
      <c r="C53" s="21" t="s">
        <v>44</v>
      </c>
      <c r="D53" s="21" t="s">
        <v>59</v>
      </c>
      <c r="E53" s="21" t="s">
        <v>33</v>
      </c>
      <c r="F53" s="21" t="s">
        <v>60</v>
      </c>
      <c r="G53" s="21" t="s">
        <v>27</v>
      </c>
      <c r="H53" s="24">
        <v>410.0</v>
      </c>
      <c r="I53" s="21"/>
    </row>
    <row r="54" spans="1:9" ht="16">
      <c r="A54" s="30" t="s">
        <v>61</v>
      </c>
      <c r="H54" s="25">
        <f>H52+H53</f>
        <v>410.0</v>
      </c>
      <c r="I54" s="25">
        <f>I52+I53</f>
        <v>410.0</v>
      </c>
    </row>
    <row r="55" spans="1:1" ht="16">
      <c r="A55" s="29" t="s">
        <v>62</v>
      </c>
    </row>
    <row r="56" spans="2:9" ht="16">
      <c r="B56" s="21" t="s">
        <v>63</v>
      </c>
      <c r="C56" s="21" t="s">
        <v>64</v>
      </c>
      <c r="D56" s="21" t="s">
        <v>65</v>
      </c>
      <c r="E56" s="21" t="s">
        <v>6</v>
      </c>
      <c r="F56" s="21" t="s">
        <v>66</v>
      </c>
      <c r="G56" s="21" t="s">
        <v>67</v>
      </c>
      <c r="H56" s="24">
        <v>35.0</v>
      </c>
      <c r="I56" s="21"/>
    </row>
    <row r="57" spans="2:9" ht="16">
      <c r="B57" s="21" t="s">
        <v>63</v>
      </c>
      <c r="C57" s="21" t="s">
        <v>64</v>
      </c>
      <c r="D57" s="21" t="s">
        <v>65</v>
      </c>
      <c r="E57" s="21" t="s">
        <v>6</v>
      </c>
      <c r="F57" s="21" t="s">
        <v>66</v>
      </c>
      <c r="G57" s="21" t="s">
        <v>8</v>
      </c>
      <c r="H57" s="21"/>
      <c r="I57" s="24">
        <v>35.0</v>
      </c>
    </row>
    <row r="58" spans="1:9" ht="16">
      <c r="A58" s="30" t="s">
        <v>68</v>
      </c>
      <c r="H58" s="25">
        <f>H56+H57</f>
        <v>35.0</v>
      </c>
      <c r="I58" s="25">
        <f>I56+I57</f>
        <v>35.0</v>
      </c>
    </row>
    <row r="59" spans="1:9" ht="16">
      <c r="A59" s="31" t="s">
        <v>69</v>
      </c>
      <c r="H59" s="25">
        <f>H9+H13+H17+H23+H27+H33+H37+H41+H50+H54+H58</f>
        <v>44750.0</v>
      </c>
      <c r="I59" s="25">
        <f>I9+I13+I17+I23+I27+I33+I37+I41+I50+I54+I58</f>
        <v>44750.0</v>
      </c>
    </row>
    <row r="63" spans="1:1" ht="16">
      <c r="A63" s="32" t="s">
        <v>78</v>
      </c>
    </row>
  </sheetData>
  <mergeCells count="4">
    <mergeCell ref="A1:H1"/>
    <mergeCell ref="A2:H2"/>
    <mergeCell ref="A3:H3"/>
    <mergeCell ref="A63:H6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