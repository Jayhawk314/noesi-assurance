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5" i="1" l="1"/>
</calcChain>
</file>

<file path=xl/sharedStrings.xml><?xml version="1.0" encoding="utf-8"?>
<sst xmlns="http://schemas.openxmlformats.org/spreadsheetml/2006/main" count="540" uniqueCount="147">
  <si>
    <t>Craig's Design and Landscaping Services</t>
  </si>
  <si>
    <t>Transaction List by Vendor</t>
  </si>
  <si>
    <t>All Dates</t>
  </si>
  <si>
    <t>Bob's Burger Joint</t>
  </si>
  <si>
    <t>08/19/2026</t>
  </si>
  <si>
    <t>No</t>
  </si>
  <si>
    <t>Cash Expense</t>
  </si>
  <si>
    <t/>
  </si>
  <si>
    <t>Yes</t>
  </si>
  <si>
    <t>Checking</t>
  </si>
  <si>
    <t>Meals and Entertainment</t>
  </si>
  <si>
    <t>08/24/2026</t>
  </si>
  <si>
    <t>09/02/2026</t>
  </si>
  <si>
    <t>Credit Card Expense</t>
  </si>
  <si>
    <t>Bought lunch for crew 102</t>
  </si>
  <si>
    <t>Mastercard</t>
  </si>
  <si>
    <t>Total for Bob's Burger Joint</t>
  </si>
  <si>
    <t>Books by Bessie</t>
  </si>
  <si>
    <t>07/18/2026</t>
  </si>
  <si>
    <t>Check</t>
  </si>
  <si>
    <t>12</t>
  </si>
  <si>
    <t>Bookkeeper</t>
  </si>
  <si>
    <t>08/14/2026</t>
  </si>
  <si>
    <t>Bill</t>
  </si>
  <si>
    <t>Accounts Payable (A/P)</t>
  </si>
  <si>
    <t>Accounting</t>
  </si>
  <si>
    <t>08/26/2026</t>
  </si>
  <si>
    <t>Bill Payment (Check)</t>
  </si>
  <si>
    <t>3</t>
  </si>
  <si>
    <t>Total for Books by Bessie</t>
  </si>
  <si>
    <t>Brosnahan Insurance Agency</t>
  </si>
  <si>
    <t>08/21/2026</t>
  </si>
  <si>
    <t>Opening Balance</t>
  </si>
  <si>
    <t>Miscellaneous</t>
  </si>
  <si>
    <t>Insurance</t>
  </si>
  <si>
    <t>08/25/2026</t>
  </si>
  <si>
    <t>1</t>
  </si>
  <si>
    <t>Total for Brosnahan Insurance Agency</t>
  </si>
  <si>
    <t>Cal Telephone</t>
  </si>
  <si>
    <t>07/13/2026</t>
  </si>
  <si>
    <t>Telephone</t>
  </si>
  <si>
    <t>08/12/2026</t>
  </si>
  <si>
    <t>Bill Payment (Credit Card)</t>
  </si>
  <si>
    <t>08/28/2026</t>
  </si>
  <si>
    <t>Total for Cal Telephone</t>
  </si>
  <si>
    <t>Chin's Gas and Oil</t>
  </si>
  <si>
    <t>07/09/2026</t>
  </si>
  <si>
    <t>4</t>
  </si>
  <si>
    <t>Fuel</t>
  </si>
  <si>
    <t>07/24/2026</t>
  </si>
  <si>
    <t>5</t>
  </si>
  <si>
    <t>08/13/2026</t>
  </si>
  <si>
    <t>Expense</t>
  </si>
  <si>
    <t>08/20/2026</t>
  </si>
  <si>
    <t>70</t>
  </si>
  <si>
    <t>Maintenance and Repair</t>
  </si>
  <si>
    <t>08/27/2026</t>
  </si>
  <si>
    <t>Total for Chin's Gas and Oil</t>
  </si>
  <si>
    <t>Diego's Road Warrior Bodyshop</t>
  </si>
  <si>
    <t>Equipment Repairs</t>
  </si>
  <si>
    <t>Total for Diego's Road Warrior Bodyshop</t>
  </si>
  <si>
    <t>Ellis Equipment Rental</t>
  </si>
  <si>
    <t>Equipment Rental</t>
  </si>
  <si>
    <t>Total for Ellis Equipment Rental</t>
  </si>
  <si>
    <t>Hall Properties</t>
  </si>
  <si>
    <t>Rent or Lease</t>
  </si>
  <si>
    <t>11</t>
  </si>
  <si>
    <t>Total for Hall Properties</t>
  </si>
  <si>
    <t>Hicks Hardware</t>
  </si>
  <si>
    <t>07/22/2026</t>
  </si>
  <si>
    <t>08/07/2026</t>
  </si>
  <si>
    <t>7</t>
  </si>
  <si>
    <t>08/10/2026</t>
  </si>
  <si>
    <t>8</t>
  </si>
  <si>
    <t>Plants and Soil</t>
  </si>
  <si>
    <t>08/16/2026</t>
  </si>
  <si>
    <t>Decks and Patios</t>
  </si>
  <si>
    <t>08/22/2026</t>
  </si>
  <si>
    <t>13</t>
  </si>
  <si>
    <t>Sprinklers and Drip Systems</t>
  </si>
  <si>
    <t>Purchase Order</t>
  </si>
  <si>
    <t>1003</t>
  </si>
  <si>
    <t>75</t>
  </si>
  <si>
    <t>09/03/2026</t>
  </si>
  <si>
    <t>Total for Hicks Hardware</t>
  </si>
  <si>
    <t>Lee Advertising</t>
  </si>
  <si>
    <t>Advertising</t>
  </si>
  <si>
    <t>Total for Lee Advertising</t>
  </si>
  <si>
    <t>Mahoney Mugs</t>
  </si>
  <si>
    <t>2</t>
  </si>
  <si>
    <t>Office Expenses</t>
  </si>
  <si>
    <t>Total for Mahoney Mugs</t>
  </si>
  <si>
    <t>Norton Lumber and Building Materials</t>
  </si>
  <si>
    <t>1004</t>
  </si>
  <si>
    <t>Total for Norton Lumber and Building Materials</t>
  </si>
  <si>
    <t>Pam Seitz</t>
  </si>
  <si>
    <t>76</t>
  </si>
  <si>
    <t>Legal &amp; Professional Fees</t>
  </si>
  <si>
    <t>Total for Pam Seitz</t>
  </si>
  <si>
    <t>PG&amp;E</t>
  </si>
  <si>
    <t>07/14/2026</t>
  </si>
  <si>
    <t>Gas and Electric</t>
  </si>
  <si>
    <t>6</t>
  </si>
  <si>
    <t>Total for PG&amp;E</t>
  </si>
  <si>
    <t>Robertson &amp; Associates</t>
  </si>
  <si>
    <t>04/26/2026</t>
  </si>
  <si>
    <t>Lawyer fees related to Startup</t>
  </si>
  <si>
    <t>Lawyer</t>
  </si>
  <si>
    <t>05/26/2026</t>
  </si>
  <si>
    <t>10</t>
  </si>
  <si>
    <t>06/17/2026</t>
  </si>
  <si>
    <t>Total for Robertson &amp; Associates</t>
  </si>
  <si>
    <t>Squeaky Kleen Car Wash</t>
  </si>
  <si>
    <t>Automobile</t>
  </si>
  <si>
    <t>Debit</t>
  </si>
  <si>
    <t>09/09/2026</t>
  </si>
  <si>
    <t>Total for Squeaky Kleen Car Wash</t>
  </si>
  <si>
    <t>Tania's Nursery</t>
  </si>
  <si>
    <t>06/24/2026</t>
  </si>
  <si>
    <t>9</t>
  </si>
  <si>
    <t>07/25/2026</t>
  </si>
  <si>
    <t>15</t>
  </si>
  <si>
    <t>Job Expenses</t>
  </si>
  <si>
    <t>08/18/2026</t>
  </si>
  <si>
    <t>22</t>
  </si>
  <si>
    <t>50</t>
  </si>
  <si>
    <t>108</t>
  </si>
  <si>
    <t>08/31/2026</t>
  </si>
  <si>
    <t>Total for Tania's Nursery</t>
  </si>
  <si>
    <t>Tim Philip Masonry</t>
  </si>
  <si>
    <t>1002</t>
  </si>
  <si>
    <t>Fountain and Garden Lighting</t>
  </si>
  <si>
    <t>45</t>
  </si>
  <si>
    <t>Total for Tim Philip Masonry</t>
  </si>
  <si>
    <t>Tony Rondonuwu</t>
  </si>
  <si>
    <t>Total for Tony Rondonuwu</t>
  </si>
  <si>
    <t>TOTAL</t>
  </si>
  <si>
    <t>Date</t>
  </si>
  <si>
    <t>Track 1099</t>
  </si>
  <si>
    <t>Transaction type</t>
  </si>
  <si>
    <t>Num</t>
  </si>
  <si>
    <t>Posting (Y/N)</t>
  </si>
  <si>
    <t>Memo</t>
  </si>
  <si>
    <t>Account full name</t>
  </si>
  <si>
    <t>Item split account</t>
  </si>
  <si>
    <t>Amount</t>
  </si>
  <si>
    <t xml:space="preserve"> Thursday, September 24, 2026 02:51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</si>
</sst>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109"/>
  <sheetViews>
    <sheetView tabSelected="1" workbookViewId="0" topLeftCell="A1"/>
  </sheetViews>
  <sheetFormatPr defaultColWidth="11.255" defaultRowHeight="16"/>
  <cols>
    <col min="1" max="1" width="40.125" style="22" customWidth="1"/>
    <col min="2" max="3" width="9.25" style="22" customWidth="1"/>
    <col min="4" max="4" width="23" style="22" customWidth="1"/>
    <col min="5" max="5" width="7.5" style="22" customWidth="1"/>
    <col min="6" max="6" width="11.75" style="22" customWidth="1"/>
    <col min="7" max="7" width="26.375" style="22" customWidth="1"/>
    <col min="8" max="8" width="19.5" style="22" customWidth="1"/>
    <col min="9" max="9" width="24.75" style="22" customWidth="1"/>
    <col min="10" max="10" width="17" style="22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2:10" ht="16">
      <c r="B5" s="23" t="s">
        <v>137</v>
      </c>
      <c r="C5" s="23" t="s">
        <v>138</v>
      </c>
      <c r="D5" s="23" t="s">
        <v>139</v>
      </c>
      <c r="E5" s="23" t="s">
        <v>140</v>
      </c>
      <c r="F5" s="23" t="s">
        <v>141</v>
      </c>
      <c r="G5" s="23" t="s">
        <v>142</v>
      </c>
      <c r="H5" s="23" t="s">
        <v>143</v>
      </c>
      <c r="I5" s="23" t="s">
        <v>144</v>
      </c>
      <c r="J5" s="23" t="s">
        <v>145</v>
      </c>
    </row>
    <row r="6" spans="1:1" ht="16">
      <c r="A6" s="29" t="s">
        <v>3</v>
      </c>
    </row>
    <row r="7" spans="2:10" ht="16">
      <c r="B7" s="21" t="s">
        <v>4</v>
      </c>
      <c r="C7" s="21" t="s">
        <v>5</v>
      </c>
      <c r="D7" s="21" t="s">
        <v>6</v>
      </c>
      <c r="E7" s="21" t="s">
        <v>7</v>
      </c>
      <c r="F7" s="21" t="s">
        <v>8</v>
      </c>
      <c r="G7" s="21" t="s">
        <v>7</v>
      </c>
      <c r="H7" s="21" t="s">
        <v>9</v>
      </c>
      <c r="I7" s="21" t="s">
        <v>10</v>
      </c>
      <c r="J7" s="24">
        <v>-5.66</v>
      </c>
    </row>
    <row r="8" spans="2:10" ht="16">
      <c r="B8" s="21" t="s">
        <v>11</v>
      </c>
      <c r="C8" s="21" t="s">
        <v>5</v>
      </c>
      <c r="D8" s="21" t="s">
        <v>6</v>
      </c>
      <c r="E8" s="21" t="s">
        <v>7</v>
      </c>
      <c r="F8" s="21" t="s">
        <v>8</v>
      </c>
      <c r="G8" s="21" t="s">
        <v>7</v>
      </c>
      <c r="H8" s="21" t="s">
        <v>9</v>
      </c>
      <c r="I8" s="21" t="s">
        <v>10</v>
      </c>
      <c r="J8" s="24">
        <v>-3.86</v>
      </c>
    </row>
    <row r="9" spans="2:10" ht="16">
      <c r="B9" s="21" t="s">
        <v>12</v>
      </c>
      <c r="C9" s="21" t="s">
        <v>5</v>
      </c>
      <c r="D9" s="21" t="s">
        <v>13</v>
      </c>
      <c r="E9" s="21" t="s">
        <v>7</v>
      </c>
      <c r="F9" s="21" t="s">
        <v>8</v>
      </c>
      <c r="G9" s="21" t="s">
        <v>14</v>
      </c>
      <c r="H9" s="21" t="s">
        <v>15</v>
      </c>
      <c r="I9" s="21" t="s">
        <v>10</v>
      </c>
      <c r="J9" s="24">
        <v>18.97</v>
      </c>
    </row>
    <row r="10" spans="1:10" ht="16">
      <c r="A10" s="30" t="s">
        <v>16</v>
      </c>
      <c r="J10" s="25">
        <f>J7+J8+J9</f>
        <v>9.45</v>
      </c>
    </row>
    <row r="11" spans="1:1" ht="16">
      <c r="A11" s="29" t="s">
        <v>17</v>
      </c>
    </row>
    <row r="12" spans="2:10" ht="16">
      <c r="B12" s="21" t="s">
        <v>18</v>
      </c>
      <c r="C12" s="21" t="s">
        <v>5</v>
      </c>
      <c r="D12" s="21" t="s">
        <v>19</v>
      </c>
      <c r="E12" s="21" t="s">
        <v>20</v>
      </c>
      <c r="F12" s="21" t="s">
        <v>8</v>
      </c>
      <c r="G12" s="21" t="s">
        <v>7</v>
      </c>
      <c r="H12" s="21" t="s">
        <v>9</v>
      </c>
      <c r="I12" s="21" t="s">
        <v>21</v>
      </c>
      <c r="J12" s="24">
        <v>-55.0</v>
      </c>
    </row>
    <row r="13" spans="2:10" ht="16">
      <c r="B13" s="21" t="s">
        <v>22</v>
      </c>
      <c r="C13" s="21" t="s">
        <v>5</v>
      </c>
      <c r="D13" s="21" t="s">
        <v>23</v>
      </c>
      <c r="E13" s="21" t="s">
        <v>7</v>
      </c>
      <c r="F13" s="21" t="s">
        <v>8</v>
      </c>
      <c r="G13" s="21" t="s">
        <v>7</v>
      </c>
      <c r="H13" s="21" t="s">
        <v>24</v>
      </c>
      <c r="I13" s="21" t="s">
        <v>25</v>
      </c>
      <c r="J13" s="24">
        <v>75.0</v>
      </c>
    </row>
    <row r="14" spans="2:10" ht="16">
      <c r="B14" s="21" t="s">
        <v>26</v>
      </c>
      <c r="C14" s="21" t="s">
        <v>5</v>
      </c>
      <c r="D14" s="21" t="s">
        <v>27</v>
      </c>
      <c r="E14" s="21" t="s">
        <v>28</v>
      </c>
      <c r="F14" s="21" t="s">
        <v>8</v>
      </c>
      <c r="G14" s="21" t="s">
        <v>7</v>
      </c>
      <c r="H14" s="21" t="s">
        <v>9</v>
      </c>
      <c r="I14" s="21" t="s">
        <v>24</v>
      </c>
      <c r="J14" s="24">
        <v>-75.0</v>
      </c>
    </row>
    <row r="15" spans="1:10" ht="16">
      <c r="A15" s="30" t="s">
        <v>29</v>
      </c>
      <c r="J15" s="25">
        <f>J12+J13+J14</f>
        <v>-55.0</v>
      </c>
    </row>
    <row r="16" spans="1:1" ht="16">
      <c r="A16" s="29" t="s">
        <v>30</v>
      </c>
    </row>
    <row r="17" spans="2:10" ht="16">
      <c r="B17" s="21" t="s">
        <v>31</v>
      </c>
      <c r="C17" s="21" t="s">
        <v>8</v>
      </c>
      <c r="D17" s="21" t="s">
        <v>23</v>
      </c>
      <c r="E17" s="21" t="s">
        <v>7</v>
      </c>
      <c r="F17" s="21" t="s">
        <v>8</v>
      </c>
      <c r="G17" s="21" t="s">
        <v>32</v>
      </c>
      <c r="H17" s="21" t="s">
        <v>24</v>
      </c>
      <c r="I17" s="21" t="s">
        <v>33</v>
      </c>
      <c r="J17" s="24">
        <v>2000.0</v>
      </c>
    </row>
    <row r="18" spans="2:10" ht="16">
      <c r="B18" s="21" t="s">
        <v>31</v>
      </c>
      <c r="C18" s="21" t="s">
        <v>8</v>
      </c>
      <c r="D18" s="21" t="s">
        <v>23</v>
      </c>
      <c r="E18" s="21" t="s">
        <v>7</v>
      </c>
      <c r="F18" s="21" t="s">
        <v>8</v>
      </c>
      <c r="G18" s="21" t="s">
        <v>7</v>
      </c>
      <c r="H18" s="21" t="s">
        <v>24</v>
      </c>
      <c r="I18" s="21" t="s">
        <v>34</v>
      </c>
      <c r="J18" s="24">
        <v>241.23</v>
      </c>
    </row>
    <row r="19" spans="2:10" ht="16">
      <c r="B19" s="21" t="s">
        <v>35</v>
      </c>
      <c r="C19" s="21" t="s">
        <v>8</v>
      </c>
      <c r="D19" s="21" t="s">
        <v>27</v>
      </c>
      <c r="E19" s="21" t="s">
        <v>36</v>
      </c>
      <c r="F19" s="21" t="s">
        <v>8</v>
      </c>
      <c r="G19" s="21" t="s">
        <v>7</v>
      </c>
      <c r="H19" s="21" t="s">
        <v>9</v>
      </c>
      <c r="I19" s="21" t="s">
        <v>24</v>
      </c>
      <c r="J19" s="24">
        <v>-2000.0</v>
      </c>
    </row>
    <row r="20" spans="1:10" ht="16">
      <c r="A20" s="30" t="s">
        <v>37</v>
      </c>
      <c r="J20" s="25">
        <f>J17+J18+J19</f>
        <v>241.23000000000002</v>
      </c>
    </row>
    <row r="21" spans="1:1" ht="16">
      <c r="A21" s="29" t="s">
        <v>38</v>
      </c>
    </row>
    <row r="22" spans="2:10" ht="16">
      <c r="B22" s="21" t="s">
        <v>39</v>
      </c>
      <c r="C22" s="21" t="s">
        <v>5</v>
      </c>
      <c r="D22" s="21" t="s">
        <v>23</v>
      </c>
      <c r="E22" s="21" t="s">
        <v>7</v>
      </c>
      <c r="F22" s="21" t="s">
        <v>8</v>
      </c>
      <c r="G22" s="21" t="s">
        <v>7</v>
      </c>
      <c r="H22" s="21" t="s">
        <v>24</v>
      </c>
      <c r="I22" s="21" t="s">
        <v>40</v>
      </c>
      <c r="J22" s="24">
        <v>56.5</v>
      </c>
    </row>
    <row r="23" spans="2:10" ht="16">
      <c r="B23" s="21" t="s">
        <v>41</v>
      </c>
      <c r="C23" s="21" t="s">
        <v>5</v>
      </c>
      <c r="D23" s="21" t="s">
        <v>23</v>
      </c>
      <c r="E23" s="21" t="s">
        <v>7</v>
      </c>
      <c r="F23" s="21" t="s">
        <v>8</v>
      </c>
      <c r="G23" s="21" t="s">
        <v>7</v>
      </c>
      <c r="H23" s="21" t="s">
        <v>24</v>
      </c>
      <c r="I23" s="21" t="s">
        <v>40</v>
      </c>
      <c r="J23" s="24">
        <v>74.36</v>
      </c>
    </row>
    <row r="24" spans="2:10" ht="16">
      <c r="B24" s="21" t="s">
        <v>26</v>
      </c>
      <c r="C24" s="21" t="s">
        <v>5</v>
      </c>
      <c r="D24" s="21" t="s">
        <v>42</v>
      </c>
      <c r="E24" s="21" t="s">
        <v>36</v>
      </c>
      <c r="F24" s="21" t="s">
        <v>8</v>
      </c>
      <c r="G24" s="21" t="s">
        <v>7</v>
      </c>
      <c r="H24" s="21" t="s">
        <v>15</v>
      </c>
      <c r="I24" s="21" t="s">
        <v>24</v>
      </c>
      <c r="J24" s="24">
        <v>74.36</v>
      </c>
    </row>
    <row r="25" spans="2:10" ht="16">
      <c r="B25" s="21" t="s">
        <v>43</v>
      </c>
      <c r="C25" s="21" t="s">
        <v>5</v>
      </c>
      <c r="D25" s="21" t="s">
        <v>42</v>
      </c>
      <c r="E25" s="21" t="s">
        <v>36</v>
      </c>
      <c r="F25" s="21" t="s">
        <v>8</v>
      </c>
      <c r="G25" s="21" t="s">
        <v>7</v>
      </c>
      <c r="H25" s="21" t="s">
        <v>15</v>
      </c>
      <c r="I25" s="21" t="s">
        <v>24</v>
      </c>
      <c r="J25" s="24">
        <v>56.5</v>
      </c>
    </row>
    <row r="26" spans="1:10" ht="16">
      <c r="A26" s="30" t="s">
        <v>44</v>
      </c>
      <c r="J26" s="25">
        <f>J22+J23+J24+J25</f>
        <v>261.72</v>
      </c>
    </row>
    <row r="27" spans="1:1" ht="16">
      <c r="A27" s="29" t="s">
        <v>45</v>
      </c>
    </row>
    <row r="28" spans="2:10" ht="16">
      <c r="B28" s="21" t="s">
        <v>46</v>
      </c>
      <c r="C28" s="21" t="s">
        <v>5</v>
      </c>
      <c r="D28" s="21" t="s">
        <v>19</v>
      </c>
      <c r="E28" s="21" t="s">
        <v>47</v>
      </c>
      <c r="F28" s="21" t="s">
        <v>8</v>
      </c>
      <c r="G28" s="21" t="s">
        <v>7</v>
      </c>
      <c r="H28" s="21" t="s">
        <v>9</v>
      </c>
      <c r="I28" s="21" t="s">
        <v>48</v>
      </c>
      <c r="J28" s="24">
        <v>-54.55</v>
      </c>
    </row>
    <row r="29" spans="2:10" ht="16">
      <c r="B29" s="21" t="s">
        <v>49</v>
      </c>
      <c r="C29" s="21" t="s">
        <v>5</v>
      </c>
      <c r="D29" s="21" t="s">
        <v>19</v>
      </c>
      <c r="E29" s="21" t="s">
        <v>50</v>
      </c>
      <c r="F29" s="21" t="s">
        <v>8</v>
      </c>
      <c r="G29" s="21" t="s">
        <v>7</v>
      </c>
      <c r="H29" s="21" t="s">
        <v>9</v>
      </c>
      <c r="I29" s="21" t="s">
        <v>48</v>
      </c>
      <c r="J29" s="24">
        <v>-62.01</v>
      </c>
    </row>
    <row r="30" spans="2:10" ht="16">
      <c r="B30" s="21" t="s">
        <v>51</v>
      </c>
      <c r="C30" s="21" t="s">
        <v>5</v>
      </c>
      <c r="D30" s="21" t="s">
        <v>52</v>
      </c>
      <c r="E30" s="21" t="s">
        <v>36</v>
      </c>
      <c r="F30" s="21" t="s">
        <v>8</v>
      </c>
      <c r="G30" s="21" t="s">
        <v>7</v>
      </c>
      <c r="H30" s="21" t="s">
        <v>15</v>
      </c>
      <c r="I30" s="21" t="s">
        <v>48</v>
      </c>
      <c r="J30" s="24">
        <v>65.0</v>
      </c>
    </row>
    <row r="31" spans="2:10" ht="16">
      <c r="B31" s="21" t="s">
        <v>53</v>
      </c>
      <c r="C31" s="21" t="s">
        <v>5</v>
      </c>
      <c r="D31" s="21" t="s">
        <v>6</v>
      </c>
      <c r="E31" s="21" t="s">
        <v>7</v>
      </c>
      <c r="F31" s="21" t="s">
        <v>8</v>
      </c>
      <c r="G31" s="21" t="s">
        <v>7</v>
      </c>
      <c r="H31" s="21" t="s">
        <v>9</v>
      </c>
      <c r="I31" s="21" t="s">
        <v>48</v>
      </c>
      <c r="J31" s="24">
        <v>-52.14</v>
      </c>
    </row>
    <row r="32" spans="2:10" ht="16">
      <c r="B32" s="21" t="s">
        <v>53</v>
      </c>
      <c r="C32" s="21" t="s">
        <v>5</v>
      </c>
      <c r="D32" s="21" t="s">
        <v>19</v>
      </c>
      <c r="E32" s="21" t="s">
        <v>54</v>
      </c>
      <c r="F32" s="21" t="s">
        <v>8</v>
      </c>
      <c r="G32" s="21" t="s">
        <v>7</v>
      </c>
      <c r="H32" s="21" t="s">
        <v>9</v>
      </c>
      <c r="I32" s="21" t="s">
        <v>55</v>
      </c>
      <c r="J32" s="24">
        <v>-185.0</v>
      </c>
    </row>
    <row r="33" spans="2:10" ht="16">
      <c r="B33" s="21" t="s">
        <v>56</v>
      </c>
      <c r="C33" s="21" t="s">
        <v>5</v>
      </c>
      <c r="D33" s="21" t="s">
        <v>6</v>
      </c>
      <c r="E33" s="21" t="s">
        <v>7</v>
      </c>
      <c r="F33" s="21" t="s">
        <v>8</v>
      </c>
      <c r="G33" s="21" t="s">
        <v>7</v>
      </c>
      <c r="H33" s="21" t="s">
        <v>9</v>
      </c>
      <c r="I33" s="21" t="s">
        <v>48</v>
      </c>
      <c r="J33" s="24">
        <v>-63.15</v>
      </c>
    </row>
    <row r="34" spans="2:10" ht="16">
      <c r="B34" s="21" t="s">
        <v>43</v>
      </c>
      <c r="C34" s="21" t="s">
        <v>5</v>
      </c>
      <c r="D34" s="21" t="s">
        <v>52</v>
      </c>
      <c r="E34" s="21" t="s">
        <v>36</v>
      </c>
      <c r="F34" s="21" t="s">
        <v>8</v>
      </c>
      <c r="G34" s="21" t="s">
        <v>7</v>
      </c>
      <c r="H34" s="21" t="s">
        <v>15</v>
      </c>
      <c r="I34" s="21" t="s">
        <v>48</v>
      </c>
      <c r="J34" s="24">
        <v>52.56</v>
      </c>
    </row>
    <row r="35" spans="1:10" ht="16">
      <c r="A35" s="30" t="s">
        <v>57</v>
      </c>
      <c r="J35" s="25">
        <f>J28+J29+J30+J31+J32+J33+J34</f>
        <v>-299.28999999999996</v>
      </c>
    </row>
    <row r="36" spans="1:1" ht="16">
      <c r="A36" s="29" t="s">
        <v>58</v>
      </c>
    </row>
    <row r="37" spans="2:10" ht="16">
      <c r="B37" s="21" t="s">
        <v>26</v>
      </c>
      <c r="C37" s="21" t="s">
        <v>5</v>
      </c>
      <c r="D37" s="21" t="s">
        <v>23</v>
      </c>
      <c r="E37" s="21" t="s">
        <v>7</v>
      </c>
      <c r="F37" s="21" t="s">
        <v>8</v>
      </c>
      <c r="G37" s="21" t="s">
        <v>7</v>
      </c>
      <c r="H37" s="21" t="s">
        <v>24</v>
      </c>
      <c r="I37" s="21" t="s">
        <v>59</v>
      </c>
      <c r="J37" s="24">
        <v>755.0</v>
      </c>
    </row>
    <row r="38" spans="1:10" ht="16">
      <c r="A38" s="30" t="s">
        <v>60</v>
      </c>
      <c r="J38" s="25">
        <f>J37</f>
        <v>755.0</v>
      </c>
    </row>
    <row r="39" spans="1:1" ht="16">
      <c r="A39" s="29" t="s">
        <v>61</v>
      </c>
    </row>
    <row r="40" spans="2:10" ht="16">
      <c r="B40" s="21" t="s">
        <v>26</v>
      </c>
      <c r="C40" s="21" t="s">
        <v>5</v>
      </c>
      <c r="D40" s="21" t="s">
        <v>52</v>
      </c>
      <c r="E40" s="21" t="s">
        <v>36</v>
      </c>
      <c r="F40" s="21" t="s">
        <v>8</v>
      </c>
      <c r="G40" s="21" t="s">
        <v>7</v>
      </c>
      <c r="H40" s="21" t="s">
        <v>15</v>
      </c>
      <c r="I40" s="21" t="s">
        <v>62</v>
      </c>
      <c r="J40" s="24">
        <v>112.0</v>
      </c>
    </row>
    <row r="41" spans="1:10" ht="16">
      <c r="A41" s="30" t="s">
        <v>63</v>
      </c>
      <c r="J41" s="25">
        <f>J40</f>
        <v>112.0</v>
      </c>
    </row>
    <row r="42" spans="1:1" ht="16">
      <c r="A42" s="29" t="s">
        <v>64</v>
      </c>
    </row>
    <row r="43" spans="2:10" ht="16">
      <c r="B43" s="21" t="s">
        <v>41</v>
      </c>
      <c r="C43" s="21" t="s">
        <v>5</v>
      </c>
      <c r="D43" s="21" t="s">
        <v>23</v>
      </c>
      <c r="E43" s="21" t="s">
        <v>7</v>
      </c>
      <c r="F43" s="21" t="s">
        <v>8</v>
      </c>
      <c r="G43" s="21" t="s">
        <v>7</v>
      </c>
      <c r="H43" s="21" t="s">
        <v>24</v>
      </c>
      <c r="I43" s="21" t="s">
        <v>65</v>
      </c>
      <c r="J43" s="24">
        <v>900.0</v>
      </c>
    </row>
    <row r="44" spans="2:10" ht="16">
      <c r="B44" s="21" t="s">
        <v>31</v>
      </c>
      <c r="C44" s="21" t="s">
        <v>5</v>
      </c>
      <c r="D44" s="21" t="s">
        <v>27</v>
      </c>
      <c r="E44" s="21" t="s">
        <v>66</v>
      </c>
      <c r="F44" s="21" t="s">
        <v>8</v>
      </c>
      <c r="G44" s="21" t="s">
        <v>7</v>
      </c>
      <c r="H44" s="21" t="s">
        <v>9</v>
      </c>
      <c r="I44" s="21" t="s">
        <v>24</v>
      </c>
      <c r="J44" s="24">
        <v>-900.0</v>
      </c>
    </row>
    <row r="45" spans="1:10" ht="16">
      <c r="A45" s="30" t="s">
        <v>67</v>
      </c>
      <c r="J45" s="25">
        <f>J43+J44</f>
        <v>0.0</v>
      </c>
    </row>
    <row r="46" spans="1:1" ht="16">
      <c r="A46" s="29" t="s">
        <v>68</v>
      </c>
    </row>
    <row r="47" spans="2:10" ht="16">
      <c r="B47" s="21" t="s">
        <v>69</v>
      </c>
      <c r="C47" s="21" t="s">
        <v>5</v>
      </c>
      <c r="D47" s="21" t="s">
        <v>23</v>
      </c>
      <c r="E47" s="21" t="s">
        <v>7</v>
      </c>
      <c r="F47" s="21" t="s">
        <v>8</v>
      </c>
      <c r="G47" s="21" t="s">
        <v>32</v>
      </c>
      <c r="H47" s="21" t="s">
        <v>24</v>
      </c>
      <c r="I47" s="21" t="s">
        <v>33</v>
      </c>
      <c r="J47" s="24">
        <v>250.0</v>
      </c>
    </row>
    <row r="48" spans="2:10" ht="16">
      <c r="B48" s="21" t="s">
        <v>70</v>
      </c>
      <c r="C48" s="21" t="s">
        <v>5</v>
      </c>
      <c r="D48" s="21" t="s">
        <v>27</v>
      </c>
      <c r="E48" s="21" t="s">
        <v>71</v>
      </c>
      <c r="F48" s="21" t="s">
        <v>8</v>
      </c>
      <c r="G48" s="21" t="s">
        <v>7</v>
      </c>
      <c r="H48" s="21" t="s">
        <v>9</v>
      </c>
      <c r="I48" s="21" t="s">
        <v>24</v>
      </c>
      <c r="J48" s="24">
        <v>-250.0</v>
      </c>
    </row>
    <row r="49" spans="2:10" ht="16">
      <c r="B49" s="21" t="s">
        <v>72</v>
      </c>
      <c r="C49" s="21" t="s">
        <v>5</v>
      </c>
      <c r="D49" s="21" t="s">
        <v>52</v>
      </c>
      <c r="E49" s="21" t="s">
        <v>73</v>
      </c>
      <c r="F49" s="21" t="s">
        <v>8</v>
      </c>
      <c r="G49" s="21" t="s">
        <v>7</v>
      </c>
      <c r="H49" s="21" t="s">
        <v>9</v>
      </c>
      <c r="I49" s="21" t="s">
        <v>74</v>
      </c>
      <c r="J49" s="24">
        <v>-24.36</v>
      </c>
    </row>
    <row r="50" spans="2:10" ht="16">
      <c r="B50" s="21" t="s">
        <v>75</v>
      </c>
      <c r="C50" s="21" t="s">
        <v>5</v>
      </c>
      <c r="D50" s="21" t="s">
        <v>52</v>
      </c>
      <c r="E50" s="21" t="s">
        <v>36</v>
      </c>
      <c r="F50" s="21" t="s">
        <v>8</v>
      </c>
      <c r="G50" s="21" t="s">
        <v>7</v>
      </c>
      <c r="H50" s="21" t="s">
        <v>15</v>
      </c>
      <c r="I50" s="21" t="s">
        <v>76</v>
      </c>
      <c r="J50" s="24">
        <v>88.09</v>
      </c>
    </row>
    <row r="51" spans="2:10" ht="16">
      <c r="B51" s="21" t="s">
        <v>77</v>
      </c>
      <c r="C51" s="21" t="s">
        <v>5</v>
      </c>
      <c r="D51" s="21" t="s">
        <v>52</v>
      </c>
      <c r="E51" s="21" t="s">
        <v>78</v>
      </c>
      <c r="F51" s="21" t="s">
        <v>8</v>
      </c>
      <c r="G51" s="21" t="s">
        <v>7</v>
      </c>
      <c r="H51" s="21" t="s">
        <v>9</v>
      </c>
      <c r="I51" s="21" t="s">
        <v>79</v>
      </c>
      <c r="J51" s="24">
        <v>-215.66</v>
      </c>
    </row>
    <row r="52" spans="2:10" ht="16">
      <c r="B52" s="21" t="s">
        <v>43</v>
      </c>
      <c r="C52" s="21" t="s">
        <v>5</v>
      </c>
      <c r="D52" s="21" t="s">
        <v>80</v>
      </c>
      <c r="E52" s="21" t="s">
        <v>81</v>
      </c>
      <c r="F52" s="21" t="s">
        <v>5</v>
      </c>
      <c r="G52" s="21" t="s">
        <v>7</v>
      </c>
      <c r="H52" s="21" t="s">
        <v>24</v>
      </c>
      <c r="I52" s="21" t="s">
        <v>7</v>
      </c>
      <c r="J52" s="24">
        <v>228.75</v>
      </c>
    </row>
    <row r="53" spans="2:10" ht="16">
      <c r="B53" s="21" t="s">
        <v>43</v>
      </c>
      <c r="C53" s="21" t="s">
        <v>5</v>
      </c>
      <c r="D53" s="21" t="s">
        <v>19</v>
      </c>
      <c r="E53" s="21" t="s">
        <v>82</v>
      </c>
      <c r="F53" s="21" t="s">
        <v>8</v>
      </c>
      <c r="G53" s="21" t="s">
        <v>7</v>
      </c>
      <c r="H53" s="21" t="s">
        <v>9</v>
      </c>
      <c r="I53" s="21" t="s">
        <v>7</v>
      </c>
      <c r="J53" s="24">
        <v>-228.75</v>
      </c>
    </row>
    <row r="54" spans="2:10" ht="16">
      <c r="B54" s="21" t="s">
        <v>83</v>
      </c>
      <c r="C54" s="21" t="s">
        <v>5</v>
      </c>
      <c r="D54" s="21" t="s">
        <v>13</v>
      </c>
      <c r="E54" s="21" t="s">
        <v>7</v>
      </c>
      <c r="F54" s="21" t="s">
        <v>8</v>
      </c>
      <c r="G54" s="21" t="s">
        <v>7</v>
      </c>
      <c r="H54" s="21" t="s">
        <v>15</v>
      </c>
      <c r="I54" s="21" t="s">
        <v>76</v>
      </c>
      <c r="J54" s="24">
        <v>42.4</v>
      </c>
    </row>
    <row r="55" spans="1:10" ht="16">
      <c r="A55" s="30" t="s">
        <v>84</v>
      </c>
      <c r="J55" s="25">
        <f>J47+J48+J49+J50+J51+J52+J53+J54</f>
        <v>-109.53</v>
      </c>
    </row>
    <row r="56" spans="1:1" ht="16">
      <c r="A56" s="29" t="s">
        <v>85</v>
      </c>
    </row>
    <row r="57" spans="2:10" ht="16">
      <c r="B57" s="21" t="s">
        <v>26</v>
      </c>
      <c r="C57" s="21" t="s">
        <v>5</v>
      </c>
      <c r="D57" s="21" t="s">
        <v>52</v>
      </c>
      <c r="E57" s="21" t="s">
        <v>7</v>
      </c>
      <c r="F57" s="21" t="s">
        <v>8</v>
      </c>
      <c r="G57" s="21" t="s">
        <v>7</v>
      </c>
      <c r="H57" s="21" t="s">
        <v>15</v>
      </c>
      <c r="I57" s="21" t="s">
        <v>86</v>
      </c>
      <c r="J57" s="24">
        <v>74.86</v>
      </c>
    </row>
    <row r="58" spans="1:10" ht="16">
      <c r="A58" s="30" t="s">
        <v>87</v>
      </c>
      <c r="J58" s="25">
        <f>J57</f>
        <v>74.86</v>
      </c>
    </row>
    <row r="59" spans="1:1" ht="16">
      <c r="A59" s="29" t="s">
        <v>88</v>
      </c>
    </row>
    <row r="60" spans="2:10" ht="16">
      <c r="B60" s="21" t="s">
        <v>77</v>
      </c>
      <c r="C60" s="21" t="s">
        <v>5</v>
      </c>
      <c r="D60" s="21" t="s">
        <v>19</v>
      </c>
      <c r="E60" s="21" t="s">
        <v>89</v>
      </c>
      <c r="F60" s="21" t="s">
        <v>8</v>
      </c>
      <c r="G60" s="21" t="s">
        <v>7</v>
      </c>
      <c r="H60" s="21" t="s">
        <v>9</v>
      </c>
      <c r="I60" s="21" t="s">
        <v>90</v>
      </c>
      <c r="J60" s="24">
        <v>-18.08</v>
      </c>
    </row>
    <row r="61" spans="1:10" ht="16">
      <c r="A61" s="30" t="s">
        <v>91</v>
      </c>
      <c r="J61" s="25">
        <f>J60</f>
        <v>-18.08</v>
      </c>
    </row>
    <row r="62" spans="1:1" ht="16">
      <c r="A62" s="29" t="s">
        <v>92</v>
      </c>
    </row>
    <row r="63" spans="2:10" ht="16">
      <c r="B63" s="21" t="s">
        <v>35</v>
      </c>
      <c r="C63" s="21" t="s">
        <v>5</v>
      </c>
      <c r="D63" s="21" t="s">
        <v>23</v>
      </c>
      <c r="E63" s="21" t="s">
        <v>7</v>
      </c>
      <c r="F63" s="21" t="s">
        <v>8</v>
      </c>
      <c r="G63" s="21" t="s">
        <v>7</v>
      </c>
      <c r="H63" s="21" t="s">
        <v>24</v>
      </c>
      <c r="I63" s="21" t="s">
        <v>76</v>
      </c>
      <c r="J63" s="24">
        <v>103.55</v>
      </c>
    </row>
    <row r="64" spans="2:10" ht="16">
      <c r="B64" s="21" t="s">
        <v>43</v>
      </c>
      <c r="C64" s="21" t="s">
        <v>5</v>
      </c>
      <c r="D64" s="21" t="s">
        <v>42</v>
      </c>
      <c r="E64" s="21" t="s">
        <v>36</v>
      </c>
      <c r="F64" s="21" t="s">
        <v>8</v>
      </c>
      <c r="G64" s="21" t="s">
        <v>7</v>
      </c>
      <c r="H64" s="21" t="s">
        <v>15</v>
      </c>
      <c r="I64" s="21" t="s">
        <v>24</v>
      </c>
      <c r="J64" s="24">
        <v>103.55</v>
      </c>
    </row>
    <row r="65" spans="2:10" ht="16">
      <c r="B65" s="21" t="s">
        <v>43</v>
      </c>
      <c r="C65" s="21" t="s">
        <v>5</v>
      </c>
      <c r="D65" s="21" t="s">
        <v>80</v>
      </c>
      <c r="E65" s="21" t="s">
        <v>93</v>
      </c>
      <c r="F65" s="21" t="s">
        <v>5</v>
      </c>
      <c r="G65" s="21" t="s">
        <v>7</v>
      </c>
      <c r="H65" s="21" t="s">
        <v>24</v>
      </c>
      <c r="I65" s="21" t="s">
        <v>7</v>
      </c>
      <c r="J65" s="24">
        <v>205.0</v>
      </c>
    </row>
    <row r="66" spans="2:10" ht="16">
      <c r="B66" s="21" t="s">
        <v>43</v>
      </c>
      <c r="C66" s="21" t="s">
        <v>5</v>
      </c>
      <c r="D66" s="21" t="s">
        <v>23</v>
      </c>
      <c r="E66" s="21" t="s">
        <v>7</v>
      </c>
      <c r="F66" s="21" t="s">
        <v>8</v>
      </c>
      <c r="G66" s="21" t="s">
        <v>7</v>
      </c>
      <c r="H66" s="21" t="s">
        <v>24</v>
      </c>
      <c r="I66" s="21" t="s">
        <v>7</v>
      </c>
      <c r="J66" s="24">
        <v>205.0</v>
      </c>
    </row>
    <row r="67" spans="1:10" ht="16">
      <c r="A67" s="30" t="s">
        <v>94</v>
      </c>
      <c r="J67" s="25">
        <f>J63+J64+J65+J66</f>
        <v>617.1</v>
      </c>
    </row>
    <row r="68" spans="1:1" ht="16">
      <c r="A68" s="29" t="s">
        <v>95</v>
      </c>
    </row>
    <row r="69" spans="2:10" ht="16">
      <c r="B69" s="21" t="s">
        <v>43</v>
      </c>
      <c r="C69" s="21" t="s">
        <v>5</v>
      </c>
      <c r="D69" s="21" t="s">
        <v>52</v>
      </c>
      <c r="E69" s="21" t="s">
        <v>96</v>
      </c>
      <c r="F69" s="21" t="s">
        <v>8</v>
      </c>
      <c r="G69" s="21" t="s">
        <v>7</v>
      </c>
      <c r="H69" s="21" t="s">
        <v>9</v>
      </c>
      <c r="I69" s="21" t="s">
        <v>97</v>
      </c>
      <c r="J69" s="24">
        <v>-75.0</v>
      </c>
    </row>
    <row r="70" spans="1:10" ht="16">
      <c r="A70" s="30" t="s">
        <v>98</v>
      </c>
      <c r="J70" s="25">
        <f>J69</f>
        <v>-75.0</v>
      </c>
    </row>
    <row r="71" spans="1:1" ht="16">
      <c r="A71" s="29" t="s">
        <v>99</v>
      </c>
    </row>
    <row r="72" spans="2:10" ht="16">
      <c r="B72" s="21" t="s">
        <v>100</v>
      </c>
      <c r="C72" s="21" t="s">
        <v>5</v>
      </c>
      <c r="D72" s="21" t="s">
        <v>23</v>
      </c>
      <c r="E72" s="21" t="s">
        <v>7</v>
      </c>
      <c r="F72" s="21" t="s">
        <v>8</v>
      </c>
      <c r="G72" s="21" t="s">
        <v>7</v>
      </c>
      <c r="H72" s="21" t="s">
        <v>24</v>
      </c>
      <c r="I72" s="21" t="s">
        <v>101</v>
      </c>
      <c r="J72" s="24">
        <v>86.44</v>
      </c>
    </row>
    <row r="73" spans="2:10" ht="16">
      <c r="B73" s="21" t="s">
        <v>41</v>
      </c>
      <c r="C73" s="21" t="s">
        <v>5</v>
      </c>
      <c r="D73" s="21" t="s">
        <v>23</v>
      </c>
      <c r="E73" s="21" t="s">
        <v>7</v>
      </c>
      <c r="F73" s="21" t="s">
        <v>8</v>
      </c>
      <c r="G73" s="21" t="s">
        <v>7</v>
      </c>
      <c r="H73" s="21" t="s">
        <v>24</v>
      </c>
      <c r="I73" s="21" t="s">
        <v>101</v>
      </c>
      <c r="J73" s="24">
        <v>114.09</v>
      </c>
    </row>
    <row r="74" spans="2:10" ht="16">
      <c r="B74" s="21" t="s">
        <v>56</v>
      </c>
      <c r="C74" s="21" t="s">
        <v>5</v>
      </c>
      <c r="D74" s="21" t="s">
        <v>27</v>
      </c>
      <c r="E74" s="21" t="s">
        <v>102</v>
      </c>
      <c r="F74" s="21" t="s">
        <v>8</v>
      </c>
      <c r="G74" s="21" t="s">
        <v>7</v>
      </c>
      <c r="H74" s="21" t="s">
        <v>9</v>
      </c>
      <c r="I74" s="21" t="s">
        <v>24</v>
      </c>
      <c r="J74" s="24">
        <v>-114.09</v>
      </c>
    </row>
    <row r="75" spans="1:10" ht="16">
      <c r="A75" s="30" t="s">
        <v>103</v>
      </c>
      <c r="J75" s="25">
        <f>J72+J73+J74</f>
        <v>86.44</v>
      </c>
    </row>
    <row r="76" spans="1:1" ht="16">
      <c r="A76" s="29" t="s">
        <v>104</v>
      </c>
    </row>
    <row r="77" spans="2:10" ht="16">
      <c r="B77" s="21" t="s">
        <v>105</v>
      </c>
      <c r="C77" s="21" t="s">
        <v>5</v>
      </c>
      <c r="D77" s="21" t="s">
        <v>23</v>
      </c>
      <c r="E77" s="21" t="s">
        <v>7</v>
      </c>
      <c r="F77" s="21" t="s">
        <v>8</v>
      </c>
      <c r="G77" s="21" t="s">
        <v>106</v>
      </c>
      <c r="H77" s="21" t="s">
        <v>24</v>
      </c>
      <c r="I77" s="21" t="s">
        <v>107</v>
      </c>
      <c r="J77" s="24">
        <v>300.0</v>
      </c>
    </row>
    <row r="78" spans="2:10" ht="16">
      <c r="B78" s="21" t="s">
        <v>108</v>
      </c>
      <c r="C78" s="21" t="s">
        <v>5</v>
      </c>
      <c r="D78" s="21" t="s">
        <v>27</v>
      </c>
      <c r="E78" s="21" t="s">
        <v>109</v>
      </c>
      <c r="F78" s="21" t="s">
        <v>8</v>
      </c>
      <c r="G78" s="21" t="s">
        <v>7</v>
      </c>
      <c r="H78" s="21" t="s">
        <v>9</v>
      </c>
      <c r="I78" s="21" t="s">
        <v>24</v>
      </c>
      <c r="J78" s="24">
        <v>-300.0</v>
      </c>
    </row>
    <row r="79" spans="2:10" ht="16">
      <c r="B79" s="21" t="s">
        <v>110</v>
      </c>
      <c r="C79" s="21" t="s">
        <v>5</v>
      </c>
      <c r="D79" s="21" t="s">
        <v>52</v>
      </c>
      <c r="E79" s="21" t="s">
        <v>20</v>
      </c>
      <c r="F79" s="21" t="s">
        <v>8</v>
      </c>
      <c r="G79" s="21" t="s">
        <v>7</v>
      </c>
      <c r="H79" s="21" t="s">
        <v>9</v>
      </c>
      <c r="I79" s="21" t="s">
        <v>25</v>
      </c>
      <c r="J79" s="24">
        <v>-250.0</v>
      </c>
    </row>
    <row r="80" spans="2:10" ht="16">
      <c r="B80" s="21" t="s">
        <v>43</v>
      </c>
      <c r="C80" s="21" t="s">
        <v>5</v>
      </c>
      <c r="D80" s="21" t="s">
        <v>23</v>
      </c>
      <c r="E80" s="21" t="s">
        <v>7</v>
      </c>
      <c r="F80" s="21" t="s">
        <v>8</v>
      </c>
      <c r="G80" s="21" t="s">
        <v>7</v>
      </c>
      <c r="H80" s="21" t="s">
        <v>24</v>
      </c>
      <c r="I80" s="21" t="s">
        <v>25</v>
      </c>
      <c r="J80" s="24">
        <v>315.0</v>
      </c>
    </row>
    <row r="81" spans="1:10" ht="16">
      <c r="A81" s="30" t="s">
        <v>111</v>
      </c>
      <c r="J81" s="25">
        <f>J77+J78+J79+J80</f>
        <v>65.0</v>
      </c>
    </row>
    <row r="82" spans="1:1" ht="16">
      <c r="A82" s="29" t="s">
        <v>112</v>
      </c>
    </row>
    <row r="83" spans="2:10" ht="16">
      <c r="B83" s="21" t="s">
        <v>4</v>
      </c>
      <c r="C83" s="21" t="s">
        <v>5</v>
      </c>
      <c r="D83" s="21" t="s">
        <v>6</v>
      </c>
      <c r="E83" s="21" t="s">
        <v>7</v>
      </c>
      <c r="F83" s="21" t="s">
        <v>8</v>
      </c>
      <c r="G83" s="21" t="s">
        <v>7</v>
      </c>
      <c r="H83" s="21" t="s">
        <v>9</v>
      </c>
      <c r="I83" s="21" t="s">
        <v>113</v>
      </c>
      <c r="J83" s="24">
        <v>-19.99</v>
      </c>
    </row>
    <row r="84" spans="2:10" ht="16">
      <c r="B84" s="21" t="s">
        <v>26</v>
      </c>
      <c r="C84" s="21" t="s">
        <v>5</v>
      </c>
      <c r="D84" s="21" t="s">
        <v>19</v>
      </c>
      <c r="E84" s="21" t="s">
        <v>114</v>
      </c>
      <c r="F84" s="21" t="s">
        <v>8</v>
      </c>
      <c r="G84" s="21" t="s">
        <v>7</v>
      </c>
      <c r="H84" s="21" t="s">
        <v>9</v>
      </c>
      <c r="I84" s="21" t="s">
        <v>113</v>
      </c>
      <c r="J84" s="24">
        <v>-19.99</v>
      </c>
    </row>
    <row r="85" spans="2:10" ht="16">
      <c r="B85" s="21" t="s">
        <v>12</v>
      </c>
      <c r="C85" s="21" t="s">
        <v>5</v>
      </c>
      <c r="D85" s="21" t="s">
        <v>13</v>
      </c>
      <c r="E85" s="21" t="s">
        <v>7</v>
      </c>
      <c r="F85" s="21" t="s">
        <v>8</v>
      </c>
      <c r="G85" s="21" t="s">
        <v>7</v>
      </c>
      <c r="H85" s="21" t="s">
        <v>15</v>
      </c>
      <c r="I85" s="21" t="s">
        <v>113</v>
      </c>
      <c r="J85" s="24">
        <v>19.99</v>
      </c>
    </row>
    <row r="86" spans="2:10" ht="16">
      <c r="B86" s="21" t="s">
        <v>115</v>
      </c>
      <c r="C86" s="21" t="s">
        <v>5</v>
      </c>
      <c r="D86" s="21" t="s">
        <v>13</v>
      </c>
      <c r="E86" s="21" t="s">
        <v>7</v>
      </c>
      <c r="F86" s="21" t="s">
        <v>8</v>
      </c>
      <c r="G86" s="21" t="s">
        <v>7</v>
      </c>
      <c r="H86" s="21" t="s">
        <v>15</v>
      </c>
      <c r="I86" s="21" t="s">
        <v>113</v>
      </c>
      <c r="J86" s="24">
        <v>19.99</v>
      </c>
    </row>
    <row r="87" spans="1:10" ht="16">
      <c r="A87" s="30" t="s">
        <v>116</v>
      </c>
      <c r="J87" s="25">
        <f>J83+J84+J85+J86</f>
        <v>0.0</v>
      </c>
    </row>
    <row r="88" spans="1:1" ht="16">
      <c r="A88" s="29" t="s">
        <v>117</v>
      </c>
    </row>
    <row r="89" spans="2:10" ht="16">
      <c r="B89" s="21" t="s">
        <v>118</v>
      </c>
      <c r="C89" s="21" t="s">
        <v>5</v>
      </c>
      <c r="D89" s="21" t="s">
        <v>52</v>
      </c>
      <c r="E89" s="21" t="s">
        <v>28</v>
      </c>
      <c r="F89" s="21" t="s">
        <v>8</v>
      </c>
      <c r="G89" s="21" t="s">
        <v>7</v>
      </c>
      <c r="H89" s="21" t="s">
        <v>15</v>
      </c>
      <c r="I89" s="21" t="s">
        <v>74</v>
      </c>
      <c r="J89" s="24">
        <v>158.08</v>
      </c>
    </row>
    <row r="90" spans="2:10" ht="16">
      <c r="B90" s="21" t="s">
        <v>18</v>
      </c>
      <c r="C90" s="21" t="s">
        <v>5</v>
      </c>
      <c r="D90" s="21" t="s">
        <v>52</v>
      </c>
      <c r="E90" s="21" t="s">
        <v>119</v>
      </c>
      <c r="F90" s="21" t="s">
        <v>8</v>
      </c>
      <c r="G90" s="21" t="s">
        <v>7</v>
      </c>
      <c r="H90" s="21" t="s">
        <v>9</v>
      </c>
      <c r="I90" s="21" t="s">
        <v>74</v>
      </c>
      <c r="J90" s="24">
        <v>-89.09</v>
      </c>
    </row>
    <row r="91" spans="2:10" ht="16">
      <c r="B91" s="21" t="s">
        <v>120</v>
      </c>
      <c r="C91" s="21" t="s">
        <v>5</v>
      </c>
      <c r="D91" s="21" t="s">
        <v>52</v>
      </c>
      <c r="E91" s="21" t="s">
        <v>121</v>
      </c>
      <c r="F91" s="21" t="s">
        <v>8</v>
      </c>
      <c r="G91" s="21" t="s">
        <v>7</v>
      </c>
      <c r="H91" s="21" t="s">
        <v>9</v>
      </c>
      <c r="I91" s="21" t="s">
        <v>122</v>
      </c>
      <c r="J91" s="24">
        <v>-108.09</v>
      </c>
    </row>
    <row r="92" spans="2:10" ht="16">
      <c r="B92" s="21" t="s">
        <v>123</v>
      </c>
      <c r="C92" s="21" t="s">
        <v>5</v>
      </c>
      <c r="D92" s="21" t="s">
        <v>52</v>
      </c>
      <c r="E92" s="21" t="s">
        <v>124</v>
      </c>
      <c r="F92" s="21" t="s">
        <v>8</v>
      </c>
      <c r="G92" s="21" t="s">
        <v>7</v>
      </c>
      <c r="H92" s="21" t="s">
        <v>15</v>
      </c>
      <c r="I92" s="21" t="s">
        <v>74</v>
      </c>
      <c r="J92" s="24">
        <v>54.92</v>
      </c>
    </row>
    <row r="93" spans="2:10" ht="16">
      <c r="B93" s="21" t="s">
        <v>77</v>
      </c>
      <c r="C93" s="21" t="s">
        <v>5</v>
      </c>
      <c r="D93" s="21" t="s">
        <v>52</v>
      </c>
      <c r="E93" s="21" t="s">
        <v>125</v>
      </c>
      <c r="F93" s="21" t="s">
        <v>8</v>
      </c>
      <c r="G93" s="21" t="s">
        <v>7</v>
      </c>
      <c r="H93" s="21" t="s">
        <v>15</v>
      </c>
      <c r="I93" s="21" t="s">
        <v>74</v>
      </c>
      <c r="J93" s="24">
        <v>82.45</v>
      </c>
    </row>
    <row r="94" spans="2:10" ht="16">
      <c r="B94" s="21" t="s">
        <v>56</v>
      </c>
      <c r="C94" s="21" t="s">
        <v>5</v>
      </c>
      <c r="D94" s="21" t="s">
        <v>52</v>
      </c>
      <c r="E94" s="21" t="s">
        <v>126</v>
      </c>
      <c r="F94" s="21" t="s">
        <v>8</v>
      </c>
      <c r="G94" s="21" t="s">
        <v>7</v>
      </c>
      <c r="H94" s="21" t="s">
        <v>9</v>
      </c>
      <c r="I94" s="21" t="s">
        <v>122</v>
      </c>
      <c r="J94" s="24">
        <v>-46.98</v>
      </c>
    </row>
    <row r="95" spans="2:10" ht="16">
      <c r="B95" s="21" t="s">
        <v>127</v>
      </c>
      <c r="C95" s="21" t="s">
        <v>5</v>
      </c>
      <c r="D95" s="21" t="s">
        <v>6</v>
      </c>
      <c r="E95" s="21" t="s">
        <v>7</v>
      </c>
      <c r="F95" s="21" t="s">
        <v>8</v>
      </c>
      <c r="G95" s="21" t="s">
        <v>7</v>
      </c>
      <c r="H95" s="21" t="s">
        <v>9</v>
      </c>
      <c r="I95" s="21" t="s">
        <v>74</v>
      </c>
      <c r="J95" s="24">
        <v>-23.5</v>
      </c>
    </row>
    <row r="96" spans="1:10" ht="16">
      <c r="A96" s="30" t="s">
        <v>128</v>
      </c>
      <c r="J96" s="25">
        <f>J89+J90+J91+J92+J93+J94+J95</f>
        <v>27.790000000000013</v>
      </c>
    </row>
    <row r="97" spans="1:1" ht="16">
      <c r="A97" s="29" t="s">
        <v>129</v>
      </c>
    </row>
    <row r="98" spans="2:10" ht="16">
      <c r="B98" s="21" t="s">
        <v>51</v>
      </c>
      <c r="C98" s="21" t="s">
        <v>5</v>
      </c>
      <c r="D98" s="21" t="s">
        <v>23</v>
      </c>
      <c r="E98" s="21" t="s">
        <v>7</v>
      </c>
      <c r="F98" s="21" t="s">
        <v>8</v>
      </c>
      <c r="G98" s="21" t="s">
        <v>32</v>
      </c>
      <c r="H98" s="21" t="s">
        <v>24</v>
      </c>
      <c r="I98" s="21" t="s">
        <v>33</v>
      </c>
      <c r="J98" s="24">
        <v>666.0</v>
      </c>
    </row>
    <row r="99" spans="2:10" ht="16">
      <c r="B99" s="21" t="s">
        <v>26</v>
      </c>
      <c r="C99" s="21" t="s">
        <v>5</v>
      </c>
      <c r="D99" s="21" t="s">
        <v>80</v>
      </c>
      <c r="E99" s="21" t="s">
        <v>130</v>
      </c>
      <c r="F99" s="21" t="s">
        <v>5</v>
      </c>
      <c r="G99" s="21" t="s">
        <v>7</v>
      </c>
      <c r="H99" s="21" t="s">
        <v>24</v>
      </c>
      <c r="I99" s="21" t="s">
        <v>131</v>
      </c>
      <c r="J99" s="24">
        <v>125.0</v>
      </c>
    </row>
    <row r="100" spans="2:10" ht="16">
      <c r="B100" s="21" t="s">
        <v>56</v>
      </c>
      <c r="C100" s="21" t="s">
        <v>5</v>
      </c>
      <c r="D100" s="21" t="s">
        <v>27</v>
      </c>
      <c r="E100" s="21" t="s">
        <v>132</v>
      </c>
      <c r="F100" s="21" t="s">
        <v>8</v>
      </c>
      <c r="G100" s="21" t="s">
        <v>7</v>
      </c>
      <c r="H100" s="21" t="s">
        <v>9</v>
      </c>
      <c r="I100" s="21" t="s">
        <v>24</v>
      </c>
      <c r="J100" s="24">
        <v>-666.0</v>
      </c>
    </row>
    <row r="101" spans="1:10" ht="16">
      <c r="A101" s="30" t="s">
        <v>133</v>
      </c>
      <c r="J101" s="25">
        <f>J98+J99+J100</f>
        <v>125.0</v>
      </c>
    </row>
    <row r="102" spans="1:1" ht="16">
      <c r="A102" s="29" t="s">
        <v>134</v>
      </c>
    </row>
    <row r="103" spans="2:10" ht="16">
      <c r="B103" s="21" t="s">
        <v>4</v>
      </c>
      <c r="C103" s="21" t="s">
        <v>5</v>
      </c>
      <c r="D103" s="21" t="s">
        <v>19</v>
      </c>
      <c r="E103" s="21" t="s">
        <v>7</v>
      </c>
      <c r="F103" s="21" t="s">
        <v>8</v>
      </c>
      <c r="G103" s="21" t="s">
        <v>7</v>
      </c>
      <c r="H103" s="21" t="s">
        <v>9</v>
      </c>
      <c r="I103" s="21" t="s">
        <v>107</v>
      </c>
      <c r="J103" s="24">
        <v>-100.0</v>
      </c>
    </row>
    <row r="104" spans="1:10" ht="16">
      <c r="A104" s="30" t="s">
        <v>135</v>
      </c>
      <c r="J104" s="25">
        <f>J103</f>
        <v>-100.0</v>
      </c>
    </row>
    <row r="105" spans="1:10" ht="16">
      <c r="A105" s="31" t="s">
        <v>136</v>
      </c>
      <c r="J105" s="25">
        <f>J10+J15+J20+J26+J35+J38+J41+J45+J55+J58+J61+J67+J70+J75+J81+J87+J96+J101+J104</f>
        <v>1718.69</v>
      </c>
    </row>
    <row r="109" spans="1:1" ht="16">
      <c r="A109" s="32" t="s">
        <v>146</v>
      </c>
    </row>
  </sheetData>
  <mergeCells count="4">
    <mergeCell ref="A1:I1"/>
    <mergeCell ref="A2:I2"/>
    <mergeCell ref="A3:I3"/>
    <mergeCell ref="A109:I10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