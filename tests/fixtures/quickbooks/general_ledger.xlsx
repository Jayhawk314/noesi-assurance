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67" i="1" l="1"/>
</calcChain>
</file>

<file path=xl/sharedStrings.xml><?xml version="1.0" encoding="utf-8"?>
<sst xmlns="http://schemas.openxmlformats.org/spreadsheetml/2006/main" count="247" uniqueCount="125">
  <si>
    <t>Craig's Design and Landscaping Services</t>
  </si>
  <si>
    <t>General Ledger</t>
  </si>
  <si>
    <t>September 1-23, 2026</t>
  </si>
  <si>
    <t>Checking</t>
  </si>
  <si>
    <t>Beginning Balance</t>
  </si>
  <si>
    <t>09/11/2026</t>
  </si>
  <si>
    <t>Credit Card Credit</t>
  </si>
  <si>
    <t/>
  </si>
  <si>
    <t>Mastercard</t>
  </si>
  <si>
    <t>Total for Checking</t>
  </si>
  <si>
    <t>Savings</t>
  </si>
  <si>
    <t>Total for Savings</t>
  </si>
  <si>
    <t>Accounts Receivable (A/R)</t>
  </si>
  <si>
    <t>Total for Accounts Receivable (A/R)</t>
  </si>
  <si>
    <t>Inventory Asset</t>
  </si>
  <si>
    <t>Total for Inventory Asset</t>
  </si>
  <si>
    <t>Undeposited Funds</t>
  </si>
  <si>
    <t>Total for Undeposited Funds</t>
  </si>
  <si>
    <t>Truck</t>
  </si>
  <si>
    <t>Original Cost</t>
  </si>
  <si>
    <t>Total for Original Cost</t>
  </si>
  <si>
    <t>Total for Truck with sub-accounts</t>
  </si>
  <si>
    <t>Accounts Payable (A/P)</t>
  </si>
  <si>
    <t>Total for Accounts Payable (A/P)</t>
  </si>
  <si>
    <t>09/02/2026</t>
  </si>
  <si>
    <t>Credit Card Expense</t>
  </si>
  <si>
    <t>Bob's Burger Joint</t>
  </si>
  <si>
    <t>Bought lunch for crew 102</t>
  </si>
  <si>
    <t>Meals and Entertainment</t>
  </si>
  <si>
    <t>Squeaky Kleen Car Wash</t>
  </si>
  <si>
    <t>Automobile</t>
  </si>
  <si>
    <t>09/03/2026</t>
  </si>
  <si>
    <t>Hicks Hardware</t>
  </si>
  <si>
    <t>Job Expenses:Job Materials:Decks and Patios</t>
  </si>
  <si>
    <t>09/09/2026</t>
  </si>
  <si>
    <t>Monthly Payment</t>
  </si>
  <si>
    <t>09/22/2026</t>
  </si>
  <si>
    <t>Total for Mastercard</t>
  </si>
  <si>
    <t>Board of Equalization Payable</t>
  </si>
  <si>
    <t>Total for Board of Equalization Payable</t>
  </si>
  <si>
    <t>Loan Payable</t>
  </si>
  <si>
    <t>Total for Loan Payable</t>
  </si>
  <si>
    <t>Notes Payable</t>
  </si>
  <si>
    <t>Total for Notes Payable</t>
  </si>
  <si>
    <t>Opening Balance Equity</t>
  </si>
  <si>
    <t>Total for Opening Balance Equity</t>
  </si>
  <si>
    <t>Design income</t>
  </si>
  <si>
    <t>Total for Design income</t>
  </si>
  <si>
    <t>Discounts given</t>
  </si>
  <si>
    <t>Total for Discounts given</t>
  </si>
  <si>
    <t>Landscaping Services</t>
  </si>
  <si>
    <t>Total for Landscaping Services</t>
  </si>
  <si>
    <t>Job Materials</t>
  </si>
  <si>
    <t>Fountains and Garden Lighting</t>
  </si>
  <si>
    <t>Total for Fountains and Garden Lighting</t>
  </si>
  <si>
    <t>Plants and Soil</t>
  </si>
  <si>
    <t>Total for Plants and Soil</t>
  </si>
  <si>
    <t>Sprinklers and Drip Systems</t>
  </si>
  <si>
    <t>Total for Sprinklers and Drip Systems</t>
  </si>
  <si>
    <t>Total for Job Materials with sub-accounts</t>
  </si>
  <si>
    <t>Labor</t>
  </si>
  <si>
    <t>Installation</t>
  </si>
  <si>
    <t>Total for Installation</t>
  </si>
  <si>
    <t>Maintenance and Repair</t>
  </si>
  <si>
    <t>Total for Maintenance and Repair</t>
  </si>
  <si>
    <t>Total for Labor with sub-accounts</t>
  </si>
  <si>
    <t>Total for Landscaping Services with sub-accounts</t>
  </si>
  <si>
    <t>Pest Control Services</t>
  </si>
  <si>
    <t>Total for Pest Control Services</t>
  </si>
  <si>
    <t>Sales of Product Income</t>
  </si>
  <si>
    <t>Total for Sales of Product Income</t>
  </si>
  <si>
    <t>Services</t>
  </si>
  <si>
    <t>Total for Services</t>
  </si>
  <si>
    <t>Cost of Goods Sold</t>
  </si>
  <si>
    <t>Total for Cost of Goods Sold</t>
  </si>
  <si>
    <t>Advertising</t>
  </si>
  <si>
    <t>Total for Advertising</t>
  </si>
  <si>
    <t>Total for Automobile</t>
  </si>
  <si>
    <t>Fuel</t>
  </si>
  <si>
    <t>Total for Fuel</t>
  </si>
  <si>
    <t>Total for Automobile with sub-accounts</t>
  </si>
  <si>
    <t>Equipment Rental</t>
  </si>
  <si>
    <t>Total for Equipment Rental</t>
  </si>
  <si>
    <t>Insurance</t>
  </si>
  <si>
    <t>Total for Insurance</t>
  </si>
  <si>
    <t>Job Expenses</t>
  </si>
  <si>
    <t>Total for Job Expenses</t>
  </si>
  <si>
    <t>Decks and Patios</t>
  </si>
  <si>
    <t>Total for Decks and Patios</t>
  </si>
  <si>
    <t>Total for Job Expenses with sub-accounts</t>
  </si>
  <si>
    <t>Legal &amp; Professional Fees</t>
  </si>
  <si>
    <t>Total for Legal &amp; Professional Fees</t>
  </si>
  <si>
    <t>Accounting</t>
  </si>
  <si>
    <t>Total for Accounting</t>
  </si>
  <si>
    <t>Bookkeeper</t>
  </si>
  <si>
    <t>Total for Bookkeeper</t>
  </si>
  <si>
    <t>Lawyer</t>
  </si>
  <si>
    <t>Total for Lawyer</t>
  </si>
  <si>
    <t>Total for Legal &amp; Professional Fees with sub-accounts</t>
  </si>
  <si>
    <t>Equipment Repairs</t>
  </si>
  <si>
    <t>Total for Equipment Repairs</t>
  </si>
  <si>
    <t>Total for Maintenance and Repair with sub-accounts</t>
  </si>
  <si>
    <t>Total for Meals and Entertainment</t>
  </si>
  <si>
    <t>Office Expenses</t>
  </si>
  <si>
    <t>Total for Office Expenses</t>
  </si>
  <si>
    <t>Rent or Lease</t>
  </si>
  <si>
    <t>Total for Rent or Lease</t>
  </si>
  <si>
    <t>Utilities</t>
  </si>
  <si>
    <t>Gas and Electric</t>
  </si>
  <si>
    <t>Total for Gas and Electric</t>
  </si>
  <si>
    <t>Telephone</t>
  </si>
  <si>
    <t>Total for Telephone</t>
  </si>
  <si>
    <t>Total for Utilities with sub-accounts</t>
  </si>
  <si>
    <t>Miscellaneous</t>
  </si>
  <si>
    <t>Total for Miscellaneous</t>
  </si>
  <si>
    <t>Distribution account</t>
  </si>
  <si>
    <t>Transaction date</t>
  </si>
  <si>
    <t>Transaction type</t>
  </si>
  <si>
    <t>Num</t>
  </si>
  <si>
    <t>Name</t>
  </si>
  <si>
    <t>Description</t>
  </si>
  <si>
    <t>Split</t>
  </si>
  <si>
    <t>Amount</t>
  </si>
  <si>
    <t>Balance</t>
  </si>
  <si>
    <t>Accrual Basis Thursday, September 24, 2026 03:15 AM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</si>
</sst>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2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171"/>
  <sheetViews>
    <sheetView tabSelected="1" workbookViewId="0" topLeftCell="A1"/>
  </sheetViews>
  <sheetFormatPr defaultColWidth="11.255" defaultRowHeight="16"/>
  <cols>
    <col min="1" max="1" width="46.125" style="28" customWidth="1"/>
    <col min="2" max="2" width="20.375" style="28" customWidth="1"/>
    <col min="3" max="3" width="14.375" style="28" customWidth="1"/>
    <col min="4" max="4" width="17" style="28" customWidth="1"/>
    <col min="5" max="5" width="7.5" style="28" customWidth="1"/>
    <col min="6" max="6" width="19.5" style="28" customWidth="1"/>
    <col min="7" max="7" width="22.125" style="28" customWidth="1"/>
    <col min="8" max="8" width="37.625" style="28" customWidth="1"/>
    <col min="9" max="9" width="15.25" style="28" customWidth="1"/>
    <col min="10" max="10" width="16.125" style="28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2:10" ht="16">
      <c r="B5" s="29" t="s">
        <v>115</v>
      </c>
      <c r="C5" s="29" t="s">
        <v>116</v>
      </c>
      <c r="D5" s="29" t="s">
        <v>117</v>
      </c>
      <c r="E5" s="29" t="s">
        <v>118</v>
      </c>
      <c r="F5" s="29" t="s">
        <v>119</v>
      </c>
      <c r="G5" s="29" t="s">
        <v>120</v>
      </c>
      <c r="H5" s="29" t="s">
        <v>121</v>
      </c>
      <c r="I5" s="29" t="s">
        <v>122</v>
      </c>
      <c r="J5" s="29" t="s">
        <v>123</v>
      </c>
    </row>
    <row r="6" spans="1:1" ht="16">
      <c r="A6" s="35" t="s">
        <v>3</v>
      </c>
    </row>
    <row r="7" spans="2:10" ht="16">
      <c r="B7" s="27" t="s">
        <v>4</v>
      </c>
      <c r="J7" s="30">
        <v>2101.0</v>
      </c>
    </row>
    <row r="8" spans="2:10" ht="16">
      <c r="B8" s="27" t="s">
        <v>3</v>
      </c>
      <c r="C8" s="27" t="s">
        <v>5</v>
      </c>
      <c r="D8" s="27" t="s">
        <v>6</v>
      </c>
      <c r="E8" s="27" t="s">
        <v>7</v>
      </c>
      <c r="F8" s="27" t="s">
        <v>7</v>
      </c>
      <c r="G8" s="27" t="s">
        <v>7</v>
      </c>
      <c r="H8" s="27" t="s">
        <v>8</v>
      </c>
      <c r="I8" s="30">
        <v>-900.0</v>
      </c>
      <c r="J8" s="30">
        <v>1201.0</v>
      </c>
    </row>
    <row r="9" spans="1:9" ht="16">
      <c r="A9" s="36" t="s">
        <v>9</v>
      </c>
      <c r="I9" s="31">
        <f>I7+I8</f>
        <v>-900.0</v>
      </c>
    </row>
    <row r="10" spans="1:1" ht="16">
      <c r="A10" s="35" t="s">
        <v>10</v>
      </c>
    </row>
    <row r="11" spans="2:10" ht="16">
      <c r="B11" s="27" t="s">
        <v>4</v>
      </c>
      <c r="J11" s="30">
        <v>800.0</v>
      </c>
    </row>
    <row r="12" spans="1:9" ht="16">
      <c r="A12" s="36" t="s">
        <v>11</v>
      </c>
      <c r="I12" s="31">
        <f>I11</f>
        <v>0.0</v>
      </c>
    </row>
    <row r="13" spans="1:1" ht="16">
      <c r="A13" s="35" t="s">
        <v>12</v>
      </c>
    </row>
    <row r="14" spans="2:10" ht="16">
      <c r="B14" s="27" t="s">
        <v>4</v>
      </c>
      <c r="J14" s="30">
        <v>5281.52</v>
      </c>
    </row>
    <row r="15" spans="1:9" ht="16">
      <c r="A15" s="36" t="s">
        <v>13</v>
      </c>
      <c r="I15" s="31">
        <f>I14</f>
        <v>0.0</v>
      </c>
    </row>
    <row r="16" spans="1:1" ht="16">
      <c r="A16" s="35" t="s">
        <v>14</v>
      </c>
    </row>
    <row r="17" spans="2:10" ht="16">
      <c r="B17" s="27" t="s">
        <v>4</v>
      </c>
      <c r="J17" s="30">
        <v>596.25</v>
      </c>
    </row>
    <row r="18" spans="1:9" ht="16">
      <c r="A18" s="36" t="s">
        <v>15</v>
      </c>
      <c r="I18" s="31">
        <f>I17</f>
        <v>0.0</v>
      </c>
    </row>
    <row r="19" spans="1:1" ht="16">
      <c r="A19" s="35" t="s">
        <v>16</v>
      </c>
    </row>
    <row r="20" spans="2:10" ht="16">
      <c r="B20" s="27" t="s">
        <v>4</v>
      </c>
      <c r="J20" s="30">
        <v>2062.52</v>
      </c>
    </row>
    <row r="21" spans="1:9" ht="16">
      <c r="A21" s="36" t="s">
        <v>17</v>
      </c>
      <c r="I21" s="31">
        <f>I20</f>
        <v>0.0</v>
      </c>
    </row>
    <row r="22" spans="1:1" ht="16">
      <c r="A22" s="35" t="s">
        <v>18</v>
      </c>
    </row>
    <row r="23" spans="1:1" ht="16">
      <c r="A23" s="37" t="s">
        <v>19</v>
      </c>
    </row>
    <row r="24" spans="2:10" ht="16">
      <c r="B24" s="27" t="s">
        <v>4</v>
      </c>
      <c r="J24" s="30">
        <v>13495.0</v>
      </c>
    </row>
    <row r="25" spans="1:9" ht="16">
      <c r="A25" s="38" t="s">
        <v>20</v>
      </c>
      <c r="I25" s="31">
        <f>I23+I24</f>
        <v>0.0</v>
      </c>
    </row>
    <row r="26" spans="1:9" ht="16">
      <c r="A26" s="36" t="s">
        <v>21</v>
      </c>
      <c r="I26" s="31">
        <f>I25</f>
        <v>0.0</v>
      </c>
    </row>
    <row r="27" spans="1:1" ht="16">
      <c r="A27" s="35" t="s">
        <v>22</v>
      </c>
    </row>
    <row r="28" spans="2:10" ht="16">
      <c r="B28" s="27" t="s">
        <v>4</v>
      </c>
      <c r="J28" s="30">
        <v>1602.67</v>
      </c>
    </row>
    <row r="29" spans="1:9" ht="16">
      <c r="A29" s="36" t="s">
        <v>23</v>
      </c>
      <c r="I29" s="31">
        <f>I28</f>
        <v>0.0</v>
      </c>
    </row>
    <row r="30" spans="1:1" ht="16">
      <c r="A30" s="35" t="s">
        <v>8</v>
      </c>
    </row>
    <row r="31" spans="2:10" ht="16">
      <c r="B31" s="27" t="s">
        <v>4</v>
      </c>
      <c r="J31" s="30">
        <v>922.37</v>
      </c>
    </row>
    <row r="32" spans="2:10" ht="16">
      <c r="B32" s="27" t="s">
        <v>8</v>
      </c>
      <c r="C32" s="27" t="s">
        <v>24</v>
      </c>
      <c r="D32" s="27" t="s">
        <v>25</v>
      </c>
      <c r="E32" s="27" t="s">
        <v>7</v>
      </c>
      <c r="F32" s="27" t="s">
        <v>26</v>
      </c>
      <c r="G32" s="27" t="s">
        <v>27</v>
      </c>
      <c r="H32" s="27" t="s">
        <v>28</v>
      </c>
      <c r="I32" s="30">
        <v>18.97</v>
      </c>
      <c r="J32" s="30">
        <v>941.34</v>
      </c>
    </row>
    <row r="33" spans="2:10" ht="16">
      <c r="B33" s="27" t="s">
        <v>8</v>
      </c>
      <c r="C33" s="27" t="s">
        <v>24</v>
      </c>
      <c r="D33" s="27" t="s">
        <v>25</v>
      </c>
      <c r="E33" s="27" t="s">
        <v>7</v>
      </c>
      <c r="F33" s="27" t="s">
        <v>29</v>
      </c>
      <c r="G33" s="27" t="s">
        <v>7</v>
      </c>
      <c r="H33" s="27" t="s">
        <v>30</v>
      </c>
      <c r="I33" s="30">
        <v>19.99</v>
      </c>
      <c r="J33" s="30">
        <v>961.33</v>
      </c>
    </row>
    <row r="34" spans="2:10" ht="16">
      <c r="B34" s="27" t="s">
        <v>8</v>
      </c>
      <c r="C34" s="27" t="s">
        <v>31</v>
      </c>
      <c r="D34" s="27" t="s">
        <v>25</v>
      </c>
      <c r="E34" s="27" t="s">
        <v>7</v>
      </c>
      <c r="F34" s="27" t="s">
        <v>32</v>
      </c>
      <c r="G34" s="27" t="s">
        <v>7</v>
      </c>
      <c r="H34" s="27" t="s">
        <v>33</v>
      </c>
      <c r="I34" s="30">
        <v>42.4</v>
      </c>
      <c r="J34" s="30">
        <v>1003.73</v>
      </c>
    </row>
    <row r="35" spans="2:10" ht="16">
      <c r="B35" s="27" t="s">
        <v>8</v>
      </c>
      <c r="C35" s="27" t="s">
        <v>34</v>
      </c>
      <c r="D35" s="27" t="s">
        <v>25</v>
      </c>
      <c r="E35" s="27" t="s">
        <v>7</v>
      </c>
      <c r="F35" s="27" t="s">
        <v>29</v>
      </c>
      <c r="G35" s="27" t="s">
        <v>7</v>
      </c>
      <c r="H35" s="27" t="s">
        <v>30</v>
      </c>
      <c r="I35" s="30">
        <v>19.99</v>
      </c>
      <c r="J35" s="30">
        <v>1023.72</v>
      </c>
    </row>
    <row r="36" spans="2:10" ht="16">
      <c r="B36" s="27" t="s">
        <v>8</v>
      </c>
      <c r="C36" s="27" t="s">
        <v>5</v>
      </c>
      <c r="D36" s="27" t="s">
        <v>6</v>
      </c>
      <c r="E36" s="27" t="s">
        <v>7</v>
      </c>
      <c r="F36" s="27" t="s">
        <v>7</v>
      </c>
      <c r="G36" s="27" t="s">
        <v>35</v>
      </c>
      <c r="H36" s="27" t="s">
        <v>3</v>
      </c>
      <c r="I36" s="30">
        <v>-900.0</v>
      </c>
      <c r="J36" s="30">
        <v>123.72000000000003</v>
      </c>
    </row>
    <row r="37" spans="2:10" ht="16">
      <c r="B37" s="27" t="s">
        <v>8</v>
      </c>
      <c r="C37" s="27" t="s">
        <v>36</v>
      </c>
      <c r="D37" s="27" t="s">
        <v>25</v>
      </c>
      <c r="E37" s="27" t="s">
        <v>7</v>
      </c>
      <c r="F37" s="27" t="s">
        <v>7</v>
      </c>
      <c r="G37" s="27" t="s">
        <v>7</v>
      </c>
      <c r="H37" s="27" t="s">
        <v>30</v>
      </c>
      <c r="I37" s="30">
        <v>34.0</v>
      </c>
      <c r="J37" s="30">
        <v>157.72000000000003</v>
      </c>
    </row>
    <row r="38" spans="1:9" ht="16">
      <c r="A38" s="36" t="s">
        <v>37</v>
      </c>
      <c r="I38" s="31">
        <f>I31+I32+I33+I34+I35+I36+I37</f>
        <v>-764.65</v>
      </c>
    </row>
    <row r="39" spans="1:1" ht="16">
      <c r="A39" s="35" t="s">
        <v>38</v>
      </c>
    </row>
    <row r="40" spans="2:10" ht="16">
      <c r="B40" s="27" t="s">
        <v>4</v>
      </c>
      <c r="J40" s="30">
        <v>370.94</v>
      </c>
    </row>
    <row r="41" spans="1:9" ht="16">
      <c r="A41" s="36" t="s">
        <v>39</v>
      </c>
      <c r="I41" s="31">
        <f>I40</f>
        <v>0.0</v>
      </c>
    </row>
    <row r="42" spans="1:1" ht="16">
      <c r="A42" s="35" t="s">
        <v>40</v>
      </c>
    </row>
    <row r="43" spans="2:10" ht="16">
      <c r="B43" s="27" t="s">
        <v>4</v>
      </c>
      <c r="J43" s="30">
        <v>4000.0</v>
      </c>
    </row>
    <row r="44" spans="1:9" ht="16">
      <c r="A44" s="36" t="s">
        <v>41</v>
      </c>
      <c r="I44" s="31">
        <f>I43</f>
        <v>0.0</v>
      </c>
    </row>
    <row r="45" spans="1:1" ht="16">
      <c r="A45" s="35" t="s">
        <v>42</v>
      </c>
    </row>
    <row r="46" spans="2:10" ht="16">
      <c r="B46" s="27" t="s">
        <v>4</v>
      </c>
      <c r="J46" s="30">
        <v>25000.0</v>
      </c>
    </row>
    <row r="47" spans="1:9" ht="16">
      <c r="A47" s="36" t="s">
        <v>43</v>
      </c>
      <c r="I47" s="31">
        <f>I46</f>
        <v>0.0</v>
      </c>
    </row>
    <row r="48" spans="1:1" ht="16">
      <c r="A48" s="35" t="s">
        <v>44</v>
      </c>
    </row>
    <row r="49" spans="2:10" ht="16">
      <c r="B49" s="27" t="s">
        <v>4</v>
      </c>
      <c r="J49" s="30">
        <v>-9337.5</v>
      </c>
    </row>
    <row r="50" spans="1:9" ht="16">
      <c r="A50" s="36" t="s">
        <v>45</v>
      </c>
      <c r="I50" s="31">
        <f>I49</f>
        <v>0.0</v>
      </c>
    </row>
    <row r="51" spans="1:1" ht="16">
      <c r="A51" s="35" t="s">
        <v>46</v>
      </c>
    </row>
    <row r="52" spans="2:10" ht="16">
      <c r="B52" s="27" t="s">
        <v>4</v>
      </c>
      <c r="J52" s="30">
        <v>2250.0</v>
      </c>
    </row>
    <row r="53" spans="1:9" ht="16">
      <c r="A53" s="36" t="s">
        <v>47</v>
      </c>
      <c r="I53" s="31">
        <f>I52</f>
        <v>0.0</v>
      </c>
    </row>
    <row r="54" spans="1:1" ht="16">
      <c r="A54" s="35" t="s">
        <v>48</v>
      </c>
    </row>
    <row r="55" spans="2:10" ht="16">
      <c r="B55" s="27" t="s">
        <v>4</v>
      </c>
      <c r="J55" s="30">
        <v>-89.5</v>
      </c>
    </row>
    <row r="56" spans="1:9" ht="16">
      <c r="A56" s="36" t="s">
        <v>49</v>
      </c>
      <c r="I56" s="31">
        <f>I55</f>
        <v>0.0</v>
      </c>
    </row>
    <row r="57" spans="1:1" ht="16">
      <c r="A57" s="35" t="s">
        <v>50</v>
      </c>
    </row>
    <row r="58" spans="2:10" ht="16">
      <c r="B58" s="27" t="s">
        <v>4</v>
      </c>
      <c r="J58" s="30">
        <v>1477.5</v>
      </c>
    </row>
    <row r="59" spans="1:9" ht="16">
      <c r="A59" s="36" t="s">
        <v>51</v>
      </c>
      <c r="I59" s="31">
        <f>I58</f>
        <v>0.0</v>
      </c>
    </row>
    <row r="60" spans="1:1" ht="16">
      <c r="A60" s="37" t="s">
        <v>52</v>
      </c>
    </row>
    <row r="61" spans="1:1" ht="16">
      <c r="A61" s="39" t="s">
        <v>53</v>
      </c>
    </row>
    <row r="62" spans="2:10" ht="16">
      <c r="B62" s="27" t="s">
        <v>4</v>
      </c>
      <c r="J62" s="30">
        <v>2246.5</v>
      </c>
    </row>
    <row r="63" spans="1:9" ht="16">
      <c r="A63" s="40" t="s">
        <v>54</v>
      </c>
      <c r="I63" s="31">
        <f>I61+I62</f>
        <v>0.0</v>
      </c>
    </row>
    <row r="64" spans="1:1" ht="16">
      <c r="A64" s="39" t="s">
        <v>55</v>
      </c>
    </row>
    <row r="65" spans="2:10" ht="16">
      <c r="B65" s="27" t="s">
        <v>4</v>
      </c>
      <c r="J65" s="30">
        <v>2351.97</v>
      </c>
    </row>
    <row r="66" spans="1:9" ht="16">
      <c r="A66" s="40" t="s">
        <v>56</v>
      </c>
      <c r="I66" s="31">
        <f>I64+I65</f>
        <v>0.0</v>
      </c>
    </row>
    <row r="67" spans="1:1" ht="16">
      <c r="A67" s="39" t="s">
        <v>57</v>
      </c>
    </row>
    <row r="68" spans="2:10" ht="16">
      <c r="B68" s="27" t="s">
        <v>4</v>
      </c>
      <c r="J68" s="30">
        <v>138.0</v>
      </c>
    </row>
    <row r="69" spans="1:9" ht="16">
      <c r="A69" s="40" t="s">
        <v>58</v>
      </c>
      <c r="I69" s="31">
        <f>I67+I68</f>
        <v>0.0</v>
      </c>
    </row>
    <row r="70" spans="1:9" ht="16">
      <c r="A70" s="38" t="s">
        <v>59</v>
      </c>
      <c r="I70" s="31">
        <f>I60+I63+I66+I69</f>
        <v>0.0</v>
      </c>
    </row>
    <row r="71" spans="1:1" ht="16">
      <c r="A71" s="37" t="s">
        <v>60</v>
      </c>
    </row>
    <row r="72" spans="1:1" ht="16">
      <c r="A72" s="39" t="s">
        <v>61</v>
      </c>
    </row>
    <row r="73" spans="2:10" ht="16">
      <c r="B73" s="27" t="s">
        <v>4</v>
      </c>
      <c r="J73" s="30">
        <v>250.0</v>
      </c>
    </row>
    <row r="74" spans="1:9" ht="16">
      <c r="A74" s="40" t="s">
        <v>62</v>
      </c>
      <c r="I74" s="31">
        <f>I72+I73</f>
        <v>0.0</v>
      </c>
    </row>
    <row r="75" spans="1:1" ht="16">
      <c r="A75" s="39" t="s">
        <v>63</v>
      </c>
    </row>
    <row r="76" spans="2:10" ht="16">
      <c r="B76" s="27" t="s">
        <v>4</v>
      </c>
      <c r="J76" s="30">
        <v>50.0</v>
      </c>
    </row>
    <row r="77" spans="1:9" ht="16">
      <c r="A77" s="40" t="s">
        <v>64</v>
      </c>
      <c r="I77" s="31">
        <f>I75+I76</f>
        <v>0.0</v>
      </c>
    </row>
    <row r="78" spans="1:9" ht="16">
      <c r="A78" s="38" t="s">
        <v>65</v>
      </c>
      <c r="I78" s="31">
        <f>I71+I74+I77</f>
        <v>0.0</v>
      </c>
    </row>
    <row r="79" spans="1:9" ht="16">
      <c r="A79" s="36" t="s">
        <v>66</v>
      </c>
      <c r="I79" s="31">
        <f>I59+I70+I78</f>
        <v>0.0</v>
      </c>
    </row>
    <row r="80" spans="1:1" ht="16">
      <c r="A80" s="35" t="s">
        <v>67</v>
      </c>
    </row>
    <row r="81" spans="2:10" ht="16">
      <c r="B81" s="27" t="s">
        <v>4</v>
      </c>
      <c r="J81" s="30">
        <v>110.0</v>
      </c>
    </row>
    <row r="82" spans="1:9" ht="16">
      <c r="A82" s="36" t="s">
        <v>68</v>
      </c>
      <c r="I82" s="31">
        <f>I81</f>
        <v>0.0</v>
      </c>
    </row>
    <row r="83" spans="1:1" ht="16">
      <c r="A83" s="35" t="s">
        <v>69</v>
      </c>
    </row>
    <row r="84" spans="2:10" ht="16">
      <c r="B84" s="27" t="s">
        <v>4</v>
      </c>
      <c r="J84" s="30">
        <v>912.75</v>
      </c>
    </row>
    <row r="85" spans="1:9" ht="16">
      <c r="A85" s="36" t="s">
        <v>70</v>
      </c>
      <c r="I85" s="31">
        <f>I84</f>
        <v>0.0</v>
      </c>
    </row>
    <row r="86" spans="1:1" ht="16">
      <c r="A86" s="35" t="s">
        <v>71</v>
      </c>
    </row>
    <row r="87" spans="2:10" ht="16">
      <c r="B87" s="27" t="s">
        <v>4</v>
      </c>
      <c r="J87" s="30">
        <v>503.55</v>
      </c>
    </row>
    <row r="88" spans="1:9" ht="16">
      <c r="A88" s="36" t="s">
        <v>72</v>
      </c>
      <c r="I88" s="31">
        <f>I87</f>
        <v>0.0</v>
      </c>
    </row>
    <row r="89" spans="1:1" ht="16">
      <c r="A89" s="35" t="s">
        <v>73</v>
      </c>
    </row>
    <row r="90" spans="2:10" ht="16">
      <c r="B90" s="27" t="s">
        <v>4</v>
      </c>
      <c r="J90" s="30">
        <v>405.0</v>
      </c>
    </row>
    <row r="91" spans="1:9" ht="16">
      <c r="A91" s="36" t="s">
        <v>74</v>
      </c>
      <c r="I91" s="31">
        <f>I90</f>
        <v>0.0</v>
      </c>
    </row>
    <row r="92" spans="1:1" ht="16">
      <c r="A92" s="35" t="s">
        <v>75</v>
      </c>
    </row>
    <row r="93" spans="2:10" ht="16">
      <c r="B93" s="27" t="s">
        <v>4</v>
      </c>
      <c r="J93" s="30">
        <v>74.86</v>
      </c>
    </row>
    <row r="94" spans="1:9" ht="16">
      <c r="A94" s="36" t="s">
        <v>76</v>
      </c>
      <c r="I94" s="31">
        <f>I93</f>
        <v>0.0</v>
      </c>
    </row>
    <row r="95" spans="1:1" ht="16">
      <c r="A95" s="35" t="s">
        <v>30</v>
      </c>
    </row>
    <row r="96" spans="2:10" ht="16">
      <c r="B96" s="27" t="s">
        <v>4</v>
      </c>
      <c r="J96" s="30">
        <v>39.98</v>
      </c>
    </row>
    <row r="97" spans="2:10" ht="16">
      <c r="B97" s="27" t="s">
        <v>30</v>
      </c>
      <c r="C97" s="27" t="s">
        <v>24</v>
      </c>
      <c r="D97" s="27" t="s">
        <v>25</v>
      </c>
      <c r="E97" s="27" t="s">
        <v>7</v>
      </c>
      <c r="F97" s="27" t="s">
        <v>29</v>
      </c>
      <c r="G97" s="27" t="s">
        <v>7</v>
      </c>
      <c r="H97" s="27" t="s">
        <v>8</v>
      </c>
      <c r="I97" s="30">
        <v>19.99</v>
      </c>
      <c r="J97" s="30">
        <v>59.97</v>
      </c>
    </row>
    <row r="98" spans="2:10" ht="16">
      <c r="B98" s="27" t="s">
        <v>30</v>
      </c>
      <c r="C98" s="27" t="s">
        <v>34</v>
      </c>
      <c r="D98" s="27" t="s">
        <v>25</v>
      </c>
      <c r="E98" s="27" t="s">
        <v>7</v>
      </c>
      <c r="F98" s="27" t="s">
        <v>29</v>
      </c>
      <c r="G98" s="27" t="s">
        <v>7</v>
      </c>
      <c r="H98" s="27" t="s">
        <v>8</v>
      </c>
      <c r="I98" s="30">
        <v>19.99</v>
      </c>
      <c r="J98" s="30">
        <v>79.96</v>
      </c>
    </row>
    <row r="99" spans="2:10" ht="16">
      <c r="B99" s="27" t="s">
        <v>30</v>
      </c>
      <c r="C99" s="27" t="s">
        <v>36</v>
      </c>
      <c r="D99" s="27" t="s">
        <v>25</v>
      </c>
      <c r="E99" s="27" t="s">
        <v>7</v>
      </c>
      <c r="F99" s="27" t="s">
        <v>7</v>
      </c>
      <c r="G99" s="27" t="s">
        <v>7</v>
      </c>
      <c r="H99" s="27" t="s">
        <v>8</v>
      </c>
      <c r="I99" s="30">
        <v>34.0</v>
      </c>
      <c r="J99" s="30">
        <v>113.96</v>
      </c>
    </row>
    <row r="100" spans="1:9" ht="16">
      <c r="A100" s="36" t="s">
        <v>77</v>
      </c>
      <c r="I100" s="31">
        <f>I96+I97+I98+I99</f>
        <v>73.97999999999999</v>
      </c>
    </row>
    <row r="101" spans="1:1" ht="16">
      <c r="A101" s="37" t="s">
        <v>78</v>
      </c>
    </row>
    <row r="102" spans="2:10" ht="16">
      <c r="B102" s="27" t="s">
        <v>4</v>
      </c>
      <c r="J102" s="30">
        <v>349.41</v>
      </c>
    </row>
    <row r="103" spans="1:9" ht="16">
      <c r="A103" s="38" t="s">
        <v>79</v>
      </c>
      <c r="I103" s="31">
        <f>I101+I102</f>
        <v>0.0</v>
      </c>
    </row>
    <row r="104" spans="1:9" ht="16">
      <c r="A104" s="36" t="s">
        <v>80</v>
      </c>
      <c r="I104" s="31">
        <f>I100+I103</f>
        <v>73.97999999999999</v>
      </c>
    </row>
    <row r="105" spans="1:1" ht="16">
      <c r="A105" s="35" t="s">
        <v>81</v>
      </c>
    </row>
    <row r="106" spans="2:10" ht="16">
      <c r="B106" s="27" t="s">
        <v>4</v>
      </c>
      <c r="J106" s="30">
        <v>112.0</v>
      </c>
    </row>
    <row r="107" spans="1:9" ht="16">
      <c r="A107" s="36" t="s">
        <v>82</v>
      </c>
      <c r="I107" s="31">
        <f>I106</f>
        <v>0.0</v>
      </c>
    </row>
    <row r="108" spans="1:1" ht="16">
      <c r="A108" s="35" t="s">
        <v>83</v>
      </c>
    </row>
    <row r="109" spans="2:10" ht="16">
      <c r="B109" s="27" t="s">
        <v>4</v>
      </c>
      <c r="J109" s="30">
        <v>241.23</v>
      </c>
    </row>
    <row r="110" spans="1:9" ht="16">
      <c r="A110" s="36" t="s">
        <v>84</v>
      </c>
      <c r="I110" s="31">
        <f>I109</f>
        <v>0.0</v>
      </c>
    </row>
    <row r="111" spans="1:1" ht="16">
      <c r="A111" s="35" t="s">
        <v>85</v>
      </c>
    </row>
    <row r="112" spans="2:10" ht="16">
      <c r="B112" s="27" t="s">
        <v>4</v>
      </c>
      <c r="J112" s="30">
        <v>155.07</v>
      </c>
    </row>
    <row r="113" spans="1:9" ht="16">
      <c r="A113" s="36" t="s">
        <v>86</v>
      </c>
      <c r="I113" s="31">
        <f>I112</f>
        <v>0.0</v>
      </c>
    </row>
    <row r="114" spans="1:1" ht="16">
      <c r="A114" s="37" t="s">
        <v>52</v>
      </c>
    </row>
    <row r="115" spans="1:1" ht="16">
      <c r="A115" s="39" t="s">
        <v>87</v>
      </c>
    </row>
    <row r="116" spans="2:10" ht="16">
      <c r="B116" s="27" t="s">
        <v>4</v>
      </c>
      <c r="J116" s="30">
        <v>191.64</v>
      </c>
    </row>
    <row r="117" spans="2:10" ht="16">
      <c r="B117" s="27" t="s">
        <v>87</v>
      </c>
      <c r="C117" s="27" t="s">
        <v>31</v>
      </c>
      <c r="D117" s="27" t="s">
        <v>25</v>
      </c>
      <c r="E117" s="27" t="s">
        <v>7</v>
      </c>
      <c r="F117" s="27" t="s">
        <v>32</v>
      </c>
      <c r="G117" s="27" t="s">
        <v>7</v>
      </c>
      <c r="H117" s="27" t="s">
        <v>8</v>
      </c>
      <c r="I117" s="30">
        <v>42.4</v>
      </c>
      <c r="J117" s="30">
        <v>234.04</v>
      </c>
    </row>
    <row r="118" spans="1:9" ht="16">
      <c r="A118" s="40" t="s">
        <v>88</v>
      </c>
      <c r="I118" s="31">
        <f>I115+I116+I117</f>
        <v>42.4</v>
      </c>
    </row>
    <row r="119" spans="1:1" ht="16">
      <c r="A119" s="39" t="s">
        <v>55</v>
      </c>
    </row>
    <row r="120" spans="2:10" ht="16">
      <c r="B120" s="27" t="s">
        <v>4</v>
      </c>
      <c r="J120" s="30">
        <v>353.12</v>
      </c>
    </row>
    <row r="121" spans="1:9" ht="16">
      <c r="A121" s="40" t="s">
        <v>56</v>
      </c>
      <c r="I121" s="31">
        <f>I119+I120</f>
        <v>0.0</v>
      </c>
    </row>
    <row r="122" spans="1:1" ht="16">
      <c r="A122" s="39" t="s">
        <v>57</v>
      </c>
    </row>
    <row r="123" spans="2:10" ht="16">
      <c r="B123" s="27" t="s">
        <v>4</v>
      </c>
      <c r="J123" s="30">
        <v>215.66</v>
      </c>
    </row>
    <row r="124" spans="1:9" ht="16">
      <c r="A124" s="40" t="s">
        <v>58</v>
      </c>
      <c r="I124" s="31">
        <f>I122+I123</f>
        <v>0.0</v>
      </c>
    </row>
    <row r="125" spans="1:9" ht="16">
      <c r="A125" s="38" t="s">
        <v>59</v>
      </c>
      <c r="I125" s="31">
        <f>I114+I118+I121+I124</f>
        <v>42.4</v>
      </c>
    </row>
    <row r="126" spans="1:9" ht="16">
      <c r="A126" s="36" t="s">
        <v>89</v>
      </c>
      <c r="I126" s="31">
        <f>I113+I125</f>
        <v>42.4</v>
      </c>
    </row>
    <row r="127" spans="1:1" ht="16">
      <c r="A127" s="35" t="s">
        <v>90</v>
      </c>
    </row>
    <row r="128" spans="2:10" ht="16">
      <c r="B128" s="27" t="s">
        <v>4</v>
      </c>
      <c r="J128" s="30">
        <v>75.0</v>
      </c>
    </row>
    <row r="129" spans="1:9" ht="16">
      <c r="A129" s="36" t="s">
        <v>91</v>
      </c>
      <c r="I129" s="31">
        <f>I128</f>
        <v>0.0</v>
      </c>
    </row>
    <row r="130" spans="1:1" ht="16">
      <c r="A130" s="37" t="s">
        <v>92</v>
      </c>
    </row>
    <row r="131" spans="2:10" ht="16">
      <c r="B131" s="27" t="s">
        <v>4</v>
      </c>
      <c r="J131" s="30">
        <v>640.0</v>
      </c>
    </row>
    <row r="132" spans="1:9" ht="16">
      <c r="A132" s="38" t="s">
        <v>93</v>
      </c>
      <c r="I132" s="31">
        <f>I130+I131</f>
        <v>0.0</v>
      </c>
    </row>
    <row r="133" spans="1:1" ht="16">
      <c r="A133" s="37" t="s">
        <v>94</v>
      </c>
    </row>
    <row r="134" spans="2:10" ht="16">
      <c r="B134" s="27" t="s">
        <v>4</v>
      </c>
      <c r="J134" s="30">
        <v>55.0</v>
      </c>
    </row>
    <row r="135" spans="1:9" ht="16">
      <c r="A135" s="38" t="s">
        <v>95</v>
      </c>
      <c r="I135" s="31">
        <f>I133+I134</f>
        <v>0.0</v>
      </c>
    </row>
    <row r="136" spans="1:1" ht="16">
      <c r="A136" s="37" t="s">
        <v>96</v>
      </c>
    </row>
    <row r="137" spans="2:10" ht="16">
      <c r="B137" s="27" t="s">
        <v>4</v>
      </c>
      <c r="J137" s="30">
        <v>400.0</v>
      </c>
    </row>
    <row r="138" spans="1:9" ht="16">
      <c r="A138" s="38" t="s">
        <v>97</v>
      </c>
      <c r="I138" s="31">
        <f>I136+I137</f>
        <v>0.0</v>
      </c>
    </row>
    <row r="139" spans="1:9" ht="16">
      <c r="A139" s="36" t="s">
        <v>98</v>
      </c>
      <c r="I139" s="31">
        <f>I129+I132+I135+I138</f>
        <v>0.0</v>
      </c>
    </row>
    <row r="140" spans="1:1" ht="16">
      <c r="A140" s="35" t="s">
        <v>63</v>
      </c>
    </row>
    <row r="141" spans="2:10" ht="16">
      <c r="B141" s="27" t="s">
        <v>4</v>
      </c>
      <c r="J141" s="30">
        <v>185.0</v>
      </c>
    </row>
    <row r="142" spans="1:9" ht="16">
      <c r="A142" s="36" t="s">
        <v>64</v>
      </c>
      <c r="I142" s="31">
        <f>I141</f>
        <v>0.0</v>
      </c>
    </row>
    <row r="143" spans="1:1" ht="16">
      <c r="A143" s="37" t="s">
        <v>99</v>
      </c>
    </row>
    <row r="144" spans="2:10" ht="16">
      <c r="B144" s="27" t="s">
        <v>4</v>
      </c>
      <c r="J144" s="30">
        <v>755.0</v>
      </c>
    </row>
    <row r="145" spans="1:9" ht="16">
      <c r="A145" s="38" t="s">
        <v>100</v>
      </c>
      <c r="I145" s="31">
        <f>I143+I144</f>
        <v>0.0</v>
      </c>
    </row>
    <row r="146" spans="1:9" ht="16">
      <c r="A146" s="36" t="s">
        <v>101</v>
      </c>
      <c r="I146" s="31">
        <f>I142+I145</f>
        <v>0.0</v>
      </c>
    </row>
    <row r="147" spans="1:1" ht="16">
      <c r="A147" s="35" t="s">
        <v>28</v>
      </c>
    </row>
    <row r="148" spans="2:10" ht="16">
      <c r="B148" s="27" t="s">
        <v>4</v>
      </c>
      <c r="J148" s="30">
        <v>9.52</v>
      </c>
    </row>
    <row r="149" spans="2:10" ht="16">
      <c r="B149" s="27" t="s">
        <v>28</v>
      </c>
      <c r="C149" s="27" t="s">
        <v>24</v>
      </c>
      <c r="D149" s="27" t="s">
        <v>25</v>
      </c>
      <c r="E149" s="27" t="s">
        <v>7</v>
      </c>
      <c r="F149" s="27" t="s">
        <v>26</v>
      </c>
      <c r="G149" s="27" t="s">
        <v>7</v>
      </c>
      <c r="H149" s="27" t="s">
        <v>8</v>
      </c>
      <c r="I149" s="30">
        <v>18.97</v>
      </c>
      <c r="J149" s="30">
        <v>28.49</v>
      </c>
    </row>
    <row r="150" spans="1:9" ht="16">
      <c r="A150" s="36" t="s">
        <v>102</v>
      </c>
      <c r="I150" s="31">
        <f>I148+I149</f>
        <v>18.97</v>
      </c>
    </row>
    <row r="151" spans="1:1" ht="16">
      <c r="A151" s="35" t="s">
        <v>103</v>
      </c>
    </row>
    <row r="152" spans="2:10" ht="16">
      <c r="B152" s="27" t="s">
        <v>4</v>
      </c>
      <c r="J152" s="30">
        <v>18.08</v>
      </c>
    </row>
    <row r="153" spans="1:9" ht="16">
      <c r="A153" s="36" t="s">
        <v>104</v>
      </c>
      <c r="I153" s="31">
        <f>I152</f>
        <v>0.0</v>
      </c>
    </row>
    <row r="154" spans="1:1" ht="16">
      <c r="A154" s="35" t="s">
        <v>105</v>
      </c>
    </row>
    <row r="155" spans="2:10" ht="16">
      <c r="B155" s="27" t="s">
        <v>4</v>
      </c>
      <c r="J155" s="30">
        <v>900.0</v>
      </c>
    </row>
    <row r="156" spans="1:9" ht="16">
      <c r="A156" s="36" t="s">
        <v>106</v>
      </c>
      <c r="I156" s="31">
        <f>I155</f>
        <v>0.0</v>
      </c>
    </row>
    <row r="157" spans="1:1" ht="16">
      <c r="A157" s="35" t="s">
        <v>107</v>
      </c>
    </row>
    <row r="158" spans="1:1" ht="16">
      <c r="A158" s="37" t="s">
        <v>108</v>
      </c>
    </row>
    <row r="159" spans="2:10" ht="16">
      <c r="B159" s="27" t="s">
        <v>4</v>
      </c>
      <c r="J159" s="30">
        <v>200.53</v>
      </c>
    </row>
    <row r="160" spans="1:9" ht="16">
      <c r="A160" s="38" t="s">
        <v>109</v>
      </c>
      <c r="I160" s="31">
        <f>I158+I159</f>
        <v>0.0</v>
      </c>
    </row>
    <row r="161" spans="1:1" ht="16">
      <c r="A161" s="37" t="s">
        <v>110</v>
      </c>
    </row>
    <row r="162" spans="2:10" ht="16">
      <c r="B162" s="27" t="s">
        <v>4</v>
      </c>
      <c r="J162" s="30">
        <v>130.86</v>
      </c>
    </row>
    <row r="163" spans="1:9" ht="16">
      <c r="A163" s="38" t="s">
        <v>111</v>
      </c>
      <c r="I163" s="31">
        <f>I161+I162</f>
        <v>0.0</v>
      </c>
    </row>
    <row r="164" spans="1:9" ht="16">
      <c r="A164" s="36" t="s">
        <v>112</v>
      </c>
      <c r="I164" s="31">
        <f>I160+I163</f>
        <v>0.0</v>
      </c>
    </row>
    <row r="165" spans="1:1" ht="16">
      <c r="A165" s="35" t="s">
        <v>113</v>
      </c>
    </row>
    <row r="166" spans="2:10" ht="16">
      <c r="B166" s="27" t="s">
        <v>4</v>
      </c>
      <c r="J166" s="30">
        <v>2916.0</v>
      </c>
    </row>
    <row r="167" spans="1:9" ht="16">
      <c r="A167" s="36" t="s">
        <v>114</v>
      </c>
      <c r="I167" s="31">
        <f>I166</f>
        <v>0.0</v>
      </c>
    </row>
    <row r="171" spans="1:1" ht="16">
      <c r="A171" s="41" t="s">
        <v>124</v>
      </c>
    </row>
  </sheetData>
  <mergeCells count="4">
    <mergeCell ref="A1:I1"/>
    <mergeCell ref="A2:I2"/>
    <mergeCell ref="A3:I3"/>
    <mergeCell ref="A171:I17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